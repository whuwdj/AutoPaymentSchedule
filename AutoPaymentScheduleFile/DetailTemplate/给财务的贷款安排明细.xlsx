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3880" tabRatio="600" firstSheet="0" activeTab="5" autoFilterDateGrouping="1"/>
  </bookViews>
  <sheets>
    <sheet xmlns:r="http://schemas.openxmlformats.org/officeDocument/2006/relationships" name="中国银行排款明细" sheetId="1" state="visible" r:id="rId1"/>
    <sheet xmlns:r="http://schemas.openxmlformats.org/officeDocument/2006/relationships" name="平安银行排款明细" sheetId="2" state="visible" r:id="rId2"/>
    <sheet xmlns:r="http://schemas.openxmlformats.org/officeDocument/2006/relationships" name="浦发银行排款明细" sheetId="3" state="visible" r:id="rId3"/>
    <sheet xmlns:r="http://schemas.openxmlformats.org/officeDocument/2006/relationships" name="易信排款明细" sheetId="4" state="visible" r:id="rId4"/>
    <sheet xmlns:r="http://schemas.openxmlformats.org/officeDocument/2006/relationships" name="Sheet1" sheetId="5" state="hidden" r:id="rId5"/>
    <sheet xmlns:r="http://schemas.openxmlformats.org/officeDocument/2006/relationships" name="资金计划排款明细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.00_-;\-* #,##0.00_-;_-* &quot;-&quot;??_-;_-@_-"/>
    <numFmt numFmtId="165" formatCode="_ * #,##0.00_ ;_ * \-#,##0.00_ ;_ * &quot;-&quot;??_ ;_ @_ "/>
  </numFmts>
  <fonts count="24">
    <font>
      <name val="宋体"/>
      <charset val="134"/>
      <color theme="1"/>
      <sz val="11"/>
      <scheme val="minor"/>
    </font>
    <font>
      <name val="等线"/>
      <charset val="134"/>
      <b val="1"/>
      <sz val="20"/>
    </font>
    <font>
      <name val="等线"/>
      <charset val="134"/>
      <b val="1"/>
      <sz val="11"/>
    </font>
    <font>
      <name val="等线"/>
      <charset val="134"/>
      <b val="1"/>
      <color theme="1"/>
      <sz val="11"/>
    </font>
    <font>
      <name val="微软雅黑"/>
      <charset val="134"/>
      <b val="1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0" fillId="3" borderId="6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7" applyAlignment="1">
      <alignment vertical="center"/>
    </xf>
    <xf numFmtId="0" fontId="11" fillId="0" borderId="7" applyAlignment="1">
      <alignment vertical="center"/>
    </xf>
    <xf numFmtId="0" fontId="12" fillId="0" borderId="8" applyAlignment="1">
      <alignment vertical="center"/>
    </xf>
    <xf numFmtId="0" fontId="12" fillId="0" borderId="0" applyAlignment="1">
      <alignment vertical="center"/>
    </xf>
    <xf numFmtId="0" fontId="13" fillId="4" borderId="9" applyAlignment="1">
      <alignment vertical="center"/>
    </xf>
    <xf numFmtId="0" fontId="14" fillId="5" borderId="10" applyAlignment="1">
      <alignment vertical="center"/>
    </xf>
    <xf numFmtId="0" fontId="15" fillId="5" borderId="9" applyAlignment="1">
      <alignment vertical="center"/>
    </xf>
    <xf numFmtId="0" fontId="16" fillId="6" borderId="11" applyAlignment="1">
      <alignment vertical="center"/>
    </xf>
    <xf numFmtId="0" fontId="17" fillId="0" borderId="12" applyAlignment="1">
      <alignment vertical="center"/>
    </xf>
    <xf numFmtId="0" fontId="18" fillId="0" borderId="13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3" fillId="11" borderId="0" applyAlignment="1">
      <alignment vertical="center"/>
    </xf>
    <xf numFmtId="0" fontId="23" fillId="12" borderId="0" applyAlignment="1">
      <alignment vertical="center"/>
    </xf>
    <xf numFmtId="0" fontId="22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3" fillId="16" borderId="0" applyAlignment="1">
      <alignment vertical="center"/>
    </xf>
    <xf numFmtId="0" fontId="22" fillId="17" borderId="0" applyAlignment="1">
      <alignment vertical="center"/>
    </xf>
    <xf numFmtId="0" fontId="22" fillId="18" borderId="0" applyAlignment="1">
      <alignment vertical="center"/>
    </xf>
    <xf numFmtId="0" fontId="23" fillId="19" borderId="0" applyAlignment="1">
      <alignment vertical="center"/>
    </xf>
    <xf numFmtId="0" fontId="23" fillId="20" borderId="0" applyAlignment="1">
      <alignment vertical="center"/>
    </xf>
    <xf numFmtId="0" fontId="22" fillId="21" borderId="0" applyAlignment="1">
      <alignment vertical="center"/>
    </xf>
    <xf numFmtId="0" fontId="22" fillId="22" borderId="0" applyAlignment="1">
      <alignment vertical="center"/>
    </xf>
    <xf numFmtId="0" fontId="23" fillId="23" borderId="0" applyAlignment="1">
      <alignment vertical="center"/>
    </xf>
    <xf numFmtId="0" fontId="23" fillId="24" borderId="0" applyAlignment="1">
      <alignment vertical="center"/>
    </xf>
    <xf numFmtId="0" fontId="22" fillId="25" borderId="0" applyAlignment="1">
      <alignment vertical="center"/>
    </xf>
    <xf numFmtId="0" fontId="22" fillId="26" borderId="0" applyAlignment="1">
      <alignment vertical="center"/>
    </xf>
    <xf numFmtId="0" fontId="23" fillId="27" borderId="0" applyAlignment="1">
      <alignment vertical="center"/>
    </xf>
    <xf numFmtId="0" fontId="23" fillId="28" borderId="0" applyAlignment="1">
      <alignment vertical="center"/>
    </xf>
    <xf numFmtId="0" fontId="22" fillId="29" borderId="0" applyAlignment="1">
      <alignment vertical="center"/>
    </xf>
    <xf numFmtId="0" fontId="22" fillId="30" borderId="0" applyAlignment="1">
      <alignment vertical="center"/>
    </xf>
    <xf numFmtId="0" fontId="23" fillId="31" borderId="0" applyAlignment="1">
      <alignment vertical="center"/>
    </xf>
    <xf numFmtId="0" fontId="23" fillId="32" borderId="0" applyAlignment="1">
      <alignment vertical="center"/>
    </xf>
    <xf numFmtId="0" fontId="22" fillId="33" borderId="0" applyAlignment="1">
      <alignment vertical="center"/>
    </xf>
  </cellStyleXfs>
  <cellXfs count="18">
    <xf numFmtId="0" fontId="0" fillId="0" borderId="0" applyAlignment="1" pivotButton="0" quotePrefix="0" xfId="0">
      <alignment vertical="center"/>
    </xf>
    <xf numFmtId="164" fontId="1" fillId="0" borderId="1" applyAlignment="1" pivotButton="0" quotePrefix="0" xfId="0">
      <alignment horizontal="center" vertical="center"/>
    </xf>
    <xf numFmtId="164" fontId="1" fillId="0" borderId="2" applyAlignment="1" pivotButton="0" quotePrefix="0" xfId="0">
      <alignment horizontal="center" vertical="center"/>
    </xf>
    <xf numFmtId="164" fontId="1" fillId="0" borderId="3" applyAlignment="1" pivotButton="0" quotePrefix="0" xfId="0">
      <alignment horizontal="center" vertical="center"/>
    </xf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2" fillId="0" borderId="4" applyAlignment="1" pivotButton="0" quotePrefix="0" xfId="0">
      <alignment vertical="center" wrapText="1"/>
    </xf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  <xf numFmtId="0" fontId="0" fillId="0" borderId="0" pivotButton="0" quotePrefix="0" xfId="0"/>
    <xf numFmtId="164" fontId="1" fillId="0" borderId="4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4" fontId="2" fillId="0" borderId="4" applyAlignment="1" pivotButton="0" quotePrefix="0" xfId="0">
      <alignment vertical="center" wrapText="1"/>
    </xf>
    <xf numFmtId="164" fontId="2" fillId="0" borderId="4" applyAlignment="1" pivotButton="0" quotePrefix="0" xfId="0">
      <alignment vertical="center"/>
    </xf>
    <xf numFmtId="0" fontId="0" fillId="0" borderId="16" pivotButton="0" quotePrefix="0" xfId="0"/>
    <xf numFmtId="165" fontId="3" fillId="2" borderId="5" applyAlignment="1" pivotButton="0" quotePrefix="0" xfId="0">
      <alignment vertical="center" wrapText="1"/>
    </xf>
    <xf numFmtId="165" fontId="4" fillId="2" borderId="5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4"/>
  <sheetViews>
    <sheetView zoomScale="90" zoomScaleNormal="90" workbookViewId="0">
      <selection activeCell="I4" sqref="I4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广州集泰化工股份有限公司采购应付货款明细表-中国银行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/>
    <row r="4" s="9">
      <c r="B4" s="0" t="inlineStr">
        <is>
          <t>编制</t>
        </is>
      </c>
      <c r="C4" s="0" t="n"/>
      <c r="D4" s="0" t="n"/>
      <c r="E4" s="0" t="n"/>
      <c r="F4" s="0" t="n"/>
      <c r="G4" s="0" t="inlineStr">
        <is>
          <t>采购总经理审核</t>
        </is>
      </c>
      <c r="H4" s="0" t="n"/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47" dxfId="0"/>
  </conditionalFormatting>
  <pageMargins left="0.75" right="0.75" top="0.432638888888889" bottom="0.275" header="0.5" footer="0.5"/>
  <pageSetup orientation="portrait" paperSize="9" scale="3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F18" sqref="F18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广州集泰化工股份有限公司采购应付货款明细表-平安银行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彭时莎</t>
        </is>
      </c>
      <c r="E3" s="15" t="n"/>
      <c r="F3" s="15" t="n">
        <v>30</v>
      </c>
      <c r="G3" s="15" t="n">
        <v>60</v>
      </c>
      <c r="H3" s="15" t="n"/>
      <c r="I3" s="15" t="n">
        <v>1413121.5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彭时莎</t>
        </is>
      </c>
      <c r="E4" s="15" t="n"/>
      <c r="F4" s="15" t="n">
        <v>30</v>
      </c>
      <c r="G4" s="15" t="n">
        <v>30</v>
      </c>
      <c r="H4" s="15" t="n"/>
      <c r="I4" s="15" t="n">
        <v>6708422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彭时莎</t>
        </is>
      </c>
      <c r="E5" s="15" t="n"/>
      <c r="F5" s="15" t="n">
        <v>30</v>
      </c>
      <c r="G5" s="15" t="n">
        <v>60</v>
      </c>
      <c r="H5" s="15" t="n">
        <v>476699.64</v>
      </c>
      <c r="I5" s="15" t="n">
        <v>325889.676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曹星</t>
        </is>
      </c>
      <c r="E6" s="15" t="n"/>
      <c r="F6" s="15" t="n">
        <v>30</v>
      </c>
      <c r="G6" s="15" t="n">
        <v>60</v>
      </c>
      <c r="H6" s="15" t="n">
        <v>307393</v>
      </c>
      <c r="I6" s="15" t="n">
        <v>199829.7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曹星</t>
        </is>
      </c>
      <c r="E7" s="15" t="n"/>
      <c r="F7" s="15" t="n">
        <v>15</v>
      </c>
      <c r="G7" s="15" t="n">
        <v>15</v>
      </c>
      <c r="H7" s="15" t="n">
        <v>300160</v>
      </c>
      <c r="I7" s="15" t="n">
        <v>300160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曹星</t>
        </is>
      </c>
      <c r="E8" s="15" t="n"/>
      <c r="F8" s="15" t="n">
        <v>60</v>
      </c>
      <c r="G8" s="15" t="n">
        <v>90</v>
      </c>
      <c r="H8" s="15" t="n">
        <v>2378040</v>
      </c>
      <c r="I8" s="15" t="n">
        <v>480840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彭时莎</t>
        </is>
      </c>
      <c r="E9" s="15" t="n"/>
      <c r="F9" s="15" t="n">
        <v>90</v>
      </c>
      <c r="G9" s="15" t="n">
        <v>90</v>
      </c>
      <c r="H9" s="15" t="n">
        <v>125113.09</v>
      </c>
      <c r="I9" s="15" t="n">
        <v>84853.09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彭时莎</t>
        </is>
      </c>
      <c r="E10" s="15" t="n"/>
      <c r="F10" s="15" t="n">
        <v>30</v>
      </c>
      <c r="G10" s="15" t="n">
        <v>30</v>
      </c>
      <c r="H10" s="15" t="n">
        <v>251500</v>
      </c>
      <c r="I10" s="15" t="n">
        <v>226350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彭时莎</t>
        </is>
      </c>
      <c r="E11" s="15" t="n"/>
      <c r="F11" s="15" t="n">
        <v>90</v>
      </c>
      <c r="G11" s="15" t="n">
        <v>180</v>
      </c>
      <c r="H11" s="15" t="n">
        <v>3518271.84</v>
      </c>
      <c r="I11" s="15" t="n">
        <v>905374.656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彭时莎</t>
        </is>
      </c>
      <c r="E12" s="15" t="n"/>
      <c r="F12" s="15" t="n">
        <v>90</v>
      </c>
      <c r="G12" s="15" t="n">
        <v>120</v>
      </c>
      <c r="H12" s="15" t="n">
        <v>293396.19</v>
      </c>
      <c r="I12" s="15" t="n">
        <v>112856.571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彭时莎</t>
        </is>
      </c>
      <c r="E13" s="15" t="n"/>
      <c r="F13" s="15" t="n">
        <v>30</v>
      </c>
      <c r="G13" s="15" t="n">
        <v>60</v>
      </c>
      <c r="H13" s="15" t="n">
        <v>1160148.96</v>
      </c>
      <c r="I13" s="15" t="n">
        <v>656234.064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彭时莎</t>
        </is>
      </c>
      <c r="E14" s="15" t="n"/>
      <c r="F14" s="15" t="n">
        <v>30</v>
      </c>
      <c r="G14" s="15" t="n">
        <v>30</v>
      </c>
      <c r="H14" s="15" t="n">
        <v>517877.79</v>
      </c>
      <c r="I14" s="15" t="n">
        <v>517877.79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曹星</t>
        </is>
      </c>
      <c r="E15" s="15" t="n"/>
      <c r="F15" s="15" t="n">
        <v>60</v>
      </c>
      <c r="G15" s="15" t="n">
        <v>90</v>
      </c>
      <c r="H15" s="15" t="n">
        <v>502453.04</v>
      </c>
      <c r="I15" s="15" t="n">
        <v>272063.736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彭时莎</t>
        </is>
      </c>
      <c r="E16" s="15" t="n"/>
      <c r="F16" s="15" t="n">
        <v>150</v>
      </c>
      <c r="G16" s="15" t="n">
        <v>150</v>
      </c>
      <c r="H16" s="15" t="n">
        <v>511139.19</v>
      </c>
      <c r="I16" s="15" t="n">
        <v>119145.771</v>
      </c>
      <c r="J16" s="15" t="n"/>
      <c r="K16" s="15" t="n"/>
      <c r="L16" s="15" t="n"/>
    </row>
    <row r="17">
      <c r="A17" s="15" t="n">
        <v>15</v>
      </c>
      <c r="B17" s="15" t="inlineStr">
        <is>
          <t>广州集泰化工股份有限公司</t>
        </is>
      </c>
      <c r="C17" s="15" t="n"/>
      <c r="D17" s="15" t="inlineStr">
        <is>
          <t>彭时莎</t>
        </is>
      </c>
      <c r="E17" s="15" t="n"/>
      <c r="F17" s="15" t="n">
        <v>60</v>
      </c>
      <c r="G17" s="15" t="n">
        <v>60</v>
      </c>
      <c r="H17" s="15" t="n">
        <v>600720</v>
      </c>
      <c r="I17" s="15" t="n">
        <v>293720</v>
      </c>
      <c r="J17" s="15" t="n"/>
      <c r="K17" s="15" t="n"/>
      <c r="L17" s="15" t="n"/>
    </row>
    <row r="18">
      <c r="A18" s="15" t="n">
        <v>16</v>
      </c>
      <c r="B18" s="15" t="inlineStr">
        <is>
          <t>广州集泰化工股份有限公司</t>
        </is>
      </c>
      <c r="C18" s="15" t="n"/>
      <c r="D18" s="15" t="inlineStr">
        <is>
          <t>彭时莎</t>
        </is>
      </c>
      <c r="E18" s="15" t="n"/>
      <c r="F18" s="15" t="n">
        <v>90</v>
      </c>
      <c r="G18" s="15" t="n">
        <v>150</v>
      </c>
      <c r="H18" s="15" t="n">
        <v>319147.9</v>
      </c>
      <c r="I18" s="15" t="n">
        <v>112619.61</v>
      </c>
      <c r="J18" s="15" t="n"/>
      <c r="K18" s="15" t="n"/>
      <c r="L18" s="15" t="n"/>
    </row>
    <row r="19">
      <c r="A19" s="15" t="n">
        <v>17</v>
      </c>
      <c r="B19" s="15" t="inlineStr">
        <is>
          <t>广州集泰化工股份有限公司</t>
        </is>
      </c>
      <c r="C19" s="15" t="n"/>
      <c r="D19" s="15" t="inlineStr">
        <is>
          <t>曹星</t>
        </is>
      </c>
      <c r="E19" s="15" t="n"/>
      <c r="F19" s="15" t="n">
        <v>90</v>
      </c>
      <c r="G19" s="15" t="n">
        <v>120</v>
      </c>
      <c r="H19" s="15" t="n">
        <v>249093.13</v>
      </c>
      <c r="I19" s="15" t="n">
        <v>145478.817</v>
      </c>
      <c r="J19" s="15" t="n"/>
      <c r="K19" s="15" t="n"/>
      <c r="L19" s="15" t="n"/>
    </row>
    <row r="20">
      <c r="A20" s="15" t="n">
        <v>18</v>
      </c>
      <c r="B20" s="15" t="inlineStr">
        <is>
          <t>广州集泰化工股份有限公司</t>
        </is>
      </c>
      <c r="C20" s="15" t="n"/>
      <c r="D20" s="15" t="inlineStr">
        <is>
          <t>曹星</t>
        </is>
      </c>
      <c r="E20" s="15" t="n"/>
      <c r="F20" s="15" t="n">
        <v>90</v>
      </c>
      <c r="G20" s="15" t="n">
        <v>120</v>
      </c>
      <c r="H20" s="15" t="n">
        <v>93100</v>
      </c>
      <c r="I20" s="15" t="n">
        <v>49590</v>
      </c>
      <c r="J20" s="15" t="n"/>
      <c r="K20" s="15" t="n"/>
      <c r="L20" s="15" t="n"/>
    </row>
    <row r="21">
      <c r="B21" s="0" t="inlineStr">
        <is>
          <t>编制</t>
        </is>
      </c>
      <c r="G21" s="0" t="inlineStr">
        <is>
          <t>采购总经理审核</t>
        </is>
      </c>
      <c r="I21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H23" sqref="H23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广州集泰化工股份有限公司采购应付货款明细表-浦发银行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I12" sqref="I12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 xml:space="preserve">广州集泰化工股份有限公司采购应付货款明细表-易信 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/>
    <row r="4" s="9">
      <c r="B4" s="0" t="inlineStr">
        <is>
          <t>编制</t>
        </is>
      </c>
      <c r="G4" s="0" t="inlineStr">
        <is>
          <t>采购总经理审核</t>
        </is>
      </c>
      <c r="I4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7:L13"/>
  <sheetViews>
    <sheetView workbookViewId="0">
      <selection activeCell="I22" sqref="I22"/>
    </sheetView>
  </sheetViews>
  <sheetFormatPr baseColWidth="8" defaultColWidth="9.02884615384615" defaultRowHeight="16.8"/>
  <cols>
    <col width="57.9615384615385" customWidth="1" style="9" min="5" max="5"/>
  </cols>
  <sheetData>
    <row r="7">
      <c r="E7" s="0" t="inlineStr">
        <is>
          <t>付款截止日期</t>
        </is>
      </c>
    </row>
    <row r="8">
      <c r="E8" s="0" t="inlineStr">
        <is>
          <t>付款优先级，且如超账龄较多，则付款计划不超过总欠款的30%，且所有付款计划不超过总余额的50%。</t>
        </is>
      </c>
    </row>
    <row r="9">
      <c r="E9" s="0" t="inlineStr">
        <is>
          <t>贷款信息-放款日期、可支付主体、收款方式（电汇、承兑）</t>
        </is>
      </c>
    </row>
    <row r="13" ht="88" customHeight="1" s="9">
      <c r="D13" s="16" t="inlineStr">
        <is>
          <t>4月付款计划</t>
        </is>
      </c>
      <c r="E13" s="17" t="inlineStr">
        <is>
          <t>第1笔-中行1000万流贷-15号-集泰、电汇和银承的</t>
        </is>
      </c>
      <c r="F13" s="17" t="inlineStr">
        <is>
          <t>第2笔-浦发1500万银承-20号</t>
        </is>
      </c>
      <c r="G13" s="17" t="inlineStr">
        <is>
          <t>第3笔-浦发1500万银承</t>
        </is>
      </c>
      <c r="H13" s="17" t="inlineStr">
        <is>
          <t>第4笔-中行1000万流贷</t>
        </is>
      </c>
      <c r="I13" s="17" t="inlineStr">
        <is>
          <t>第5笔-中行易信522万</t>
        </is>
      </c>
      <c r="J13" s="17" t="inlineStr">
        <is>
          <t>第6笔-商承、融资</t>
        </is>
      </c>
      <c r="K13" s="17" t="inlineStr">
        <is>
          <t>资金计划</t>
        </is>
      </c>
      <c r="L13" s="17" t="inlineStr">
        <is>
          <t>合计已排款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G10" sqref="G10"/>
    </sheetView>
  </sheetViews>
  <sheetFormatPr baseColWidth="8" defaultColWidth="9.23076923076923" defaultRowHeight="16.8" outlineLevelRow="3"/>
  <cols>
    <col width="13.1442307692308" customWidth="1" style="9" min="3" max="3"/>
    <col width="10.3076923076923" customWidth="1" style="9" min="4" max="4"/>
    <col width="12.7692307692308" customWidth="1" style="9" min="5" max="5"/>
    <col width="13.2307692307692" customWidth="1" style="9" min="7" max="7"/>
    <col width="22.6153846153846" customWidth="1" style="9" min="8" max="8"/>
    <col width="24.6730769230769" customWidth="1" style="9" min="9" max="9"/>
    <col width="12.7692307692308" customWidth="1" style="9" min="11" max="11"/>
    <col width="10.3076923076923" customWidth="1" style="9" min="12" max="12"/>
  </cols>
  <sheetData>
    <row r="1" ht="28.8" customHeight="1" s="9">
      <c r="A1" s="10" t="inlineStr">
        <is>
          <t>广州集泰化工股份有限公司采购应付货款明细表-资金计划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2" t="n"/>
    </row>
    <row r="2" ht="34" customHeight="1" s="9">
      <c r="A2" s="13" t="inlineStr">
        <is>
          <t>序号</t>
        </is>
      </c>
      <c r="B2" s="13" t="inlineStr">
        <is>
          <t>主体</t>
        </is>
      </c>
      <c r="C2" s="14" t="inlineStr">
        <is>
          <t>供应商名称（全称）</t>
        </is>
      </c>
      <c r="D2" s="14" t="inlineStr">
        <is>
          <t>负责人</t>
        </is>
      </c>
      <c r="E2" s="14" t="inlineStr">
        <is>
          <t>材料名称</t>
        </is>
      </c>
      <c r="F2" s="6" t="inlineStr">
        <is>
          <t>合同账期</t>
        </is>
      </c>
      <c r="G2" s="6" t="inlineStr">
        <is>
          <t>协议账期</t>
        </is>
      </c>
      <c r="H2" s="6" t="inlineStr">
        <is>
          <t>当月已开票余额</t>
        </is>
      </c>
      <c r="I2" s="6" t="inlineStr">
        <is>
          <t>付款计划</t>
        </is>
      </c>
      <c r="J2" s="13" t="inlineStr">
        <is>
          <t>备注</t>
        </is>
      </c>
      <c r="K2" s="14" t="inlineStr">
        <is>
          <t>采购组织</t>
        </is>
      </c>
      <c r="L2" s="14" t="inlineStr">
        <is>
          <t>采购员</t>
        </is>
      </c>
    </row>
    <row r="3">
      <c r="A3" s="15" t="n">
        <v>1</v>
      </c>
      <c r="B3" s="15" t="inlineStr">
        <is>
          <t>广州集泰化工股份有限公司</t>
        </is>
      </c>
      <c r="C3" s="15" t="n"/>
      <c r="D3" s="15" t="inlineStr">
        <is>
          <t>曹星</t>
        </is>
      </c>
      <c r="E3" s="15" t="n"/>
      <c r="F3" s="15" t="n">
        <v>45</v>
      </c>
      <c r="G3" s="15" t="n">
        <v>90</v>
      </c>
      <c r="H3" s="15" t="n">
        <v>25688</v>
      </c>
      <c r="I3" s="15" t="n">
        <v>17719.2</v>
      </c>
      <c r="J3" s="15" t="n"/>
      <c r="K3" s="15" t="n"/>
      <c r="L3" s="15" t="n"/>
    </row>
    <row r="4" s="9">
      <c r="A4" s="15" t="n">
        <v>2</v>
      </c>
      <c r="B4" s="15" t="inlineStr">
        <is>
          <t>广州集泰化工股份有限公司</t>
        </is>
      </c>
      <c r="C4" s="15" t="n"/>
      <c r="D4" s="15" t="inlineStr">
        <is>
          <t>彭时莎</t>
        </is>
      </c>
      <c r="E4" s="15" t="n"/>
      <c r="F4" s="15" t="n">
        <v>150</v>
      </c>
      <c r="G4" s="15" t="n">
        <v>150</v>
      </c>
      <c r="H4" s="15" t="n">
        <v>95354</v>
      </c>
      <c r="I4" s="15" t="n">
        <v>9000</v>
      </c>
      <c r="J4" s="15" t="n"/>
      <c r="K4" s="15" t="n"/>
      <c r="L4" s="15" t="n"/>
    </row>
    <row r="5">
      <c r="A5" s="15" t="n">
        <v>3</v>
      </c>
      <c r="B5" s="15" t="inlineStr">
        <is>
          <t>广州集泰化工股份有限公司</t>
        </is>
      </c>
      <c r="C5" s="15" t="n"/>
      <c r="D5" s="15" t="inlineStr">
        <is>
          <t>彭时莎</t>
        </is>
      </c>
      <c r="E5" s="15" t="n"/>
      <c r="F5" s="15" t="n">
        <v>60</v>
      </c>
      <c r="G5" s="15" t="n">
        <v>90</v>
      </c>
      <c r="H5" s="15" t="n">
        <v>19142</v>
      </c>
      <c r="I5" s="15" t="n">
        <v>14820.3</v>
      </c>
      <c r="J5" s="15" t="n"/>
      <c r="K5" s="15" t="n"/>
      <c r="L5" s="15" t="n"/>
    </row>
    <row r="6">
      <c r="A6" s="15" t="n">
        <v>4</v>
      </c>
      <c r="B6" s="15" t="inlineStr">
        <is>
          <t>广州集泰化工股份有限公司</t>
        </is>
      </c>
      <c r="C6" s="15" t="n"/>
      <c r="D6" s="15" t="inlineStr">
        <is>
          <t>彭时莎</t>
        </is>
      </c>
      <c r="E6" s="15" t="n"/>
      <c r="F6" s="15" t="n">
        <v>60</v>
      </c>
      <c r="G6" s="15" t="n">
        <v>90</v>
      </c>
      <c r="H6" s="15" t="n"/>
      <c r="I6" s="15" t="n">
        <v>7989.525</v>
      </c>
      <c r="J6" s="15" t="n"/>
      <c r="K6" s="15" t="n"/>
      <c r="L6" s="15" t="n"/>
    </row>
    <row r="7">
      <c r="A7" s="15" t="n">
        <v>5</v>
      </c>
      <c r="B7" s="15" t="inlineStr">
        <is>
          <t>广州集泰化工股份有限公司</t>
        </is>
      </c>
      <c r="C7" s="15" t="n"/>
      <c r="D7" s="15" t="inlineStr">
        <is>
          <t>彭时莎</t>
        </is>
      </c>
      <c r="E7" s="15" t="n"/>
      <c r="F7" s="15" t="n">
        <v>30</v>
      </c>
      <c r="G7" s="15" t="n">
        <v>30</v>
      </c>
      <c r="H7" s="15" t="n">
        <v>29197.5</v>
      </c>
      <c r="I7" s="15" t="n">
        <v>26277.75</v>
      </c>
      <c r="J7" s="15" t="n"/>
      <c r="K7" s="15" t="n"/>
      <c r="L7" s="15" t="n"/>
    </row>
    <row r="8">
      <c r="A8" s="15" t="n">
        <v>6</v>
      </c>
      <c r="B8" s="15" t="inlineStr">
        <is>
          <t>广州集泰化工股份有限公司</t>
        </is>
      </c>
      <c r="C8" s="15" t="n"/>
      <c r="D8" s="15" t="inlineStr">
        <is>
          <t>曹星</t>
        </is>
      </c>
      <c r="E8" s="15" t="n"/>
      <c r="F8" s="15" t="n">
        <v>30</v>
      </c>
      <c r="G8" s="15" t="n">
        <v>60</v>
      </c>
      <c r="H8" s="15" t="n">
        <v>39000</v>
      </c>
      <c r="I8" s="15" t="n">
        <v>26325</v>
      </c>
      <c r="J8" s="15" t="n"/>
      <c r="K8" s="15" t="n"/>
      <c r="L8" s="15" t="n"/>
    </row>
    <row r="9">
      <c r="A9" s="15" t="n">
        <v>7</v>
      </c>
      <c r="B9" s="15" t="inlineStr">
        <is>
          <t>广州集泰化工股份有限公司</t>
        </is>
      </c>
      <c r="C9" s="15" t="n"/>
      <c r="D9" s="15" t="inlineStr">
        <is>
          <t>曹星</t>
        </is>
      </c>
      <c r="E9" s="15" t="n"/>
      <c r="F9" s="15" t="n">
        <v>30</v>
      </c>
      <c r="G9" s="15" t="n">
        <v>30</v>
      </c>
      <c r="H9" s="15" t="n">
        <v>760</v>
      </c>
      <c r="I9" s="15" t="n">
        <v>760</v>
      </c>
      <c r="J9" s="15" t="n"/>
      <c r="K9" s="15" t="n"/>
      <c r="L9" s="15" t="n"/>
    </row>
    <row r="10">
      <c r="A10" s="15" t="n">
        <v>8</v>
      </c>
      <c r="B10" s="15" t="inlineStr">
        <is>
          <t>广州集泰化工股份有限公司</t>
        </is>
      </c>
      <c r="C10" s="15" t="n"/>
      <c r="D10" s="15" t="inlineStr">
        <is>
          <t>彭时莎</t>
        </is>
      </c>
      <c r="E10" s="15" t="n"/>
      <c r="F10" s="15" t="n">
        <v>30</v>
      </c>
      <c r="G10" s="15" t="n">
        <v>30</v>
      </c>
      <c r="H10" s="15" t="n">
        <v>15250</v>
      </c>
      <c r="I10" s="15" t="n">
        <v>13725</v>
      </c>
      <c r="J10" s="15" t="n"/>
      <c r="K10" s="15" t="n"/>
      <c r="L10" s="15" t="n"/>
    </row>
    <row r="11">
      <c r="A11" s="15" t="n">
        <v>9</v>
      </c>
      <c r="B11" s="15" t="inlineStr">
        <is>
          <t>广州集泰化工股份有限公司</t>
        </is>
      </c>
      <c r="C11" s="15" t="n"/>
      <c r="D11" s="15" t="inlineStr">
        <is>
          <t>曹星</t>
        </is>
      </c>
      <c r="E11" s="15" t="n"/>
      <c r="F11" s="15" t="n">
        <v>90</v>
      </c>
      <c r="G11" s="15" t="n">
        <v>120</v>
      </c>
      <c r="H11" s="15" t="n">
        <v>50532.98</v>
      </c>
      <c r="I11" s="15" t="n">
        <v>25446.411</v>
      </c>
      <c r="J11" s="15" t="n"/>
      <c r="K11" s="15" t="n"/>
      <c r="L11" s="15" t="n"/>
    </row>
    <row r="12">
      <c r="A12" s="15" t="n">
        <v>10</v>
      </c>
      <c r="B12" s="15" t="inlineStr">
        <is>
          <t>广州集泰化工股份有限公司</t>
        </is>
      </c>
      <c r="C12" s="15" t="n"/>
      <c r="D12" s="15" t="inlineStr">
        <is>
          <t>曹星</t>
        </is>
      </c>
      <c r="E12" s="15" t="n"/>
      <c r="F12" s="15" t="n">
        <v>90</v>
      </c>
      <c r="G12" s="15" t="n">
        <v>90</v>
      </c>
      <c r="H12" s="15" t="n">
        <v>67416</v>
      </c>
      <c r="I12" s="15" t="n">
        <v>15087.6</v>
      </c>
      <c r="J12" s="15" t="n"/>
      <c r="K12" s="15" t="n"/>
      <c r="L12" s="15" t="n"/>
    </row>
    <row r="13">
      <c r="A13" s="15" t="n">
        <v>11</v>
      </c>
      <c r="B13" s="15" t="inlineStr">
        <is>
          <t>广州集泰化工股份有限公司</t>
        </is>
      </c>
      <c r="C13" s="15" t="n"/>
      <c r="D13" s="15" t="inlineStr">
        <is>
          <t>曹星</t>
        </is>
      </c>
      <c r="E13" s="15" t="n"/>
      <c r="F13" s="15" t="n">
        <v>30</v>
      </c>
      <c r="G13" s="15" t="n">
        <v>120</v>
      </c>
      <c r="H13" s="15" t="n">
        <v>2670</v>
      </c>
      <c r="I13" s="15" t="n">
        <v>1602</v>
      </c>
      <c r="J13" s="15" t="n"/>
      <c r="K13" s="15" t="n"/>
      <c r="L13" s="15" t="n"/>
    </row>
    <row r="14">
      <c r="A14" s="15" t="n">
        <v>12</v>
      </c>
      <c r="B14" s="15" t="inlineStr">
        <is>
          <t>广州集泰化工股份有限公司</t>
        </is>
      </c>
      <c r="C14" s="15" t="n"/>
      <c r="D14" s="15" t="inlineStr">
        <is>
          <t>彭时莎</t>
        </is>
      </c>
      <c r="E14" s="15" t="n"/>
      <c r="F14" s="15" t="n">
        <v>30</v>
      </c>
      <c r="G14" s="15" t="n">
        <v>90</v>
      </c>
      <c r="H14" s="15" t="n">
        <v>65400</v>
      </c>
      <c r="I14" s="15" t="n">
        <v>29430</v>
      </c>
      <c r="J14" s="15" t="n"/>
      <c r="K14" s="15" t="n"/>
      <c r="L14" s="15" t="n"/>
    </row>
    <row r="15">
      <c r="A15" s="15" t="n">
        <v>13</v>
      </c>
      <c r="B15" s="15" t="inlineStr">
        <is>
          <t>广州集泰化工股份有限公司</t>
        </is>
      </c>
      <c r="C15" s="15" t="n"/>
      <c r="D15" s="15" t="inlineStr">
        <is>
          <t>彭时莎</t>
        </is>
      </c>
      <c r="E15" s="15" t="n"/>
      <c r="F15" s="15" t="n">
        <v>90</v>
      </c>
      <c r="G15" s="15" t="n">
        <v>180</v>
      </c>
      <c r="H15" s="15" t="n">
        <v>33460</v>
      </c>
      <c r="I15" s="15" t="n">
        <v>21685.5</v>
      </c>
      <c r="J15" s="15" t="n"/>
      <c r="K15" s="15" t="n"/>
      <c r="L15" s="15" t="n"/>
    </row>
    <row r="16">
      <c r="A16" s="15" t="n">
        <v>14</v>
      </c>
      <c r="B16" s="15" t="inlineStr">
        <is>
          <t>广州集泰化工股份有限公司</t>
        </is>
      </c>
      <c r="C16" s="15" t="n"/>
      <c r="D16" s="15" t="inlineStr">
        <is>
          <t>曹星</t>
        </is>
      </c>
      <c r="E16" s="15" t="n"/>
      <c r="F16" s="15" t="n">
        <v>45</v>
      </c>
      <c r="G16" s="15" t="n">
        <v>45</v>
      </c>
      <c r="H16" s="15" t="n">
        <v>3850</v>
      </c>
      <c r="I16" s="15" t="n">
        <v>540</v>
      </c>
      <c r="J16" s="15" t="n"/>
      <c r="K16" s="15" t="n"/>
      <c r="L16" s="15" t="n"/>
    </row>
    <row r="17">
      <c r="A17" s="15" t="n">
        <v>15</v>
      </c>
      <c r="B17" s="15" t="inlineStr">
        <is>
          <t>广州集泰化工股份有限公司</t>
        </is>
      </c>
      <c r="C17" s="15" t="n"/>
      <c r="D17" s="15" t="inlineStr">
        <is>
          <t>曹星</t>
        </is>
      </c>
      <c r="E17" s="15" t="n"/>
      <c r="F17" s="15" t="n">
        <v>30</v>
      </c>
      <c r="G17" s="15" t="n">
        <v>90</v>
      </c>
      <c r="H17" s="15" t="n">
        <v>60000</v>
      </c>
      <c r="I17" s="15" t="n">
        <v>27000</v>
      </c>
      <c r="J17" s="15" t="n"/>
      <c r="K17" s="15" t="n"/>
      <c r="L17" s="15" t="n"/>
    </row>
    <row r="18">
      <c r="A18" s="15" t="n">
        <v>16</v>
      </c>
      <c r="B18" s="15" t="inlineStr">
        <is>
          <t>广州集泰化工股份有限公司</t>
        </is>
      </c>
      <c r="C18" s="15" t="n"/>
      <c r="D18" s="15" t="inlineStr">
        <is>
          <t>曹星</t>
        </is>
      </c>
      <c r="E18" s="15" t="n"/>
      <c r="F18" s="15" t="n">
        <v>30</v>
      </c>
      <c r="G18" s="15" t="n">
        <v>90</v>
      </c>
      <c r="H18" s="15" t="n">
        <v>17500</v>
      </c>
      <c r="I18" s="15" t="n">
        <v>7875</v>
      </c>
      <c r="J18" s="15" t="n"/>
      <c r="K18" s="15" t="n"/>
      <c r="L18" s="15" t="n"/>
    </row>
    <row r="19">
      <c r="A19" s="15" t="n">
        <v>17</v>
      </c>
      <c r="B19" s="15" t="inlineStr">
        <is>
          <t>广州集泰化工股份有限公司</t>
        </is>
      </c>
      <c r="C19" s="15" t="n"/>
      <c r="D19" s="15" t="inlineStr">
        <is>
          <t>曹星</t>
        </is>
      </c>
      <c r="E19" s="15" t="n"/>
      <c r="F19" s="15" t="n">
        <v>120</v>
      </c>
      <c r="G19" s="15" t="n">
        <v>120</v>
      </c>
      <c r="H19" s="15" t="n">
        <v>1050</v>
      </c>
      <c r="I19" s="15" t="n">
        <v>567</v>
      </c>
      <c r="J19" s="15" t="n"/>
      <c r="K19" s="15" t="n"/>
      <c r="L19" s="15" t="n"/>
    </row>
    <row r="20">
      <c r="B20" s="0" t="inlineStr">
        <is>
          <t>编制</t>
        </is>
      </c>
      <c r="G20" s="0" t="inlineStr">
        <is>
          <t>采购总经理审核</t>
        </is>
      </c>
      <c r="I20" s="0" t="inlineStr">
        <is>
          <t>财务总经理审批</t>
        </is>
      </c>
    </row>
  </sheetData>
  <mergeCells count="1">
    <mergeCell ref="A1:L1"/>
  </mergeCells>
  <conditionalFormatting sqref="C2">
    <cfRule type="duplicateValues" priority="3" dxfId="0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Suyingjuan</dc:creator>
  <dcterms:created xmlns:dcterms="http://purl.org/dc/terms/" xmlns:xsi="http://www.w3.org/2001/XMLSchema-instance" xsi:type="dcterms:W3CDTF">2023-05-14T03:15:00Z</dcterms:created>
  <dcterms:modified xmlns:dcterms="http://purl.org/dc/terms/" xmlns:xsi="http://www.w3.org/2001/XMLSchema-instance" xsi:type="dcterms:W3CDTF">2026-07-08T10:29:23Z</dcterms:modified>
  <cp:lastModifiedBy>whuwdj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2052-12.1.25869.25869</vt:lpwstr>
  </property>
  <property name="ICV" fmtid="{D5CDD505-2E9C-101B-9397-08002B2CF9AE}" pid="3">
    <vt:lpwstr xmlns:vt="http://schemas.openxmlformats.org/officeDocument/2006/docPropsVTypes">00522E3D0B9C43F79E0B03A787610005_13</vt:lpwstr>
  </property>
  <property name="CalculationRule" fmtid="{D5CDD505-2E9C-101B-9397-08002B2CF9AE}" pid="4">
    <vt:i4 xmlns:vt="http://schemas.openxmlformats.org/officeDocument/2006/docPropsVTypes">0</vt:i4>
  </property>
</Properties>
</file>