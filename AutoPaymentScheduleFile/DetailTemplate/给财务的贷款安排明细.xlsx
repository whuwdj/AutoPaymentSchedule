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240" windowHeight="12640" activeTab="5"/>
  </bookViews>
  <sheets>
    <sheet name="中国银行排款明细" sheetId="4" r:id="rId1"/>
    <sheet name="平安银行排款明细" sheetId="11" r:id="rId2"/>
    <sheet name="浦发银行排款明细" sheetId="8" r:id="rId3"/>
    <sheet name="易信排款明细" sheetId="10" r:id="rId4"/>
    <sheet name="Sheet1" sheetId="5" state="hidden" r:id="rId5"/>
    <sheet name="资金计划排款明细" sheetId="1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<sst xmlns="http://schemas.openxmlformats.org/spreadsheetml/2006/main" count="262" uniqueCount="46">
  <si>
    <t xml:space="preserve">广州集泰化工股份有限公司采购应付货款明细表-平安银行 </t>
  </si>
  <si>
    <t>序号</t>
  </si>
  <si>
    <t>主体</t>
  </si>
  <si>
    <t>供应商名称（全称）</t>
  </si>
  <si>
    <t>负责人</t>
  </si>
  <si>
    <t>材料名称</t>
  </si>
  <si>
    <t>合同账期</t>
  </si>
  <si>
    <t>协议账期</t>
  </si>
  <si>
    <t>已开票应付款
总额</t>
  </si>
  <si>
    <t>排款金额</t>
  </si>
  <si>
    <t>备注</t>
  </si>
  <si>
    <t>采购组织</t>
  </si>
  <si>
    <t>采购员</t>
  </si>
  <si>
    <t>集泰</t>
  </si>
  <si>
    <t>翊昊</t>
  </si>
  <si>
    <t>曹</t>
  </si>
  <si>
    <t>硅油</t>
  </si>
  <si>
    <t>德立</t>
  </si>
  <si>
    <t>桶</t>
  </si>
  <si>
    <t>从化兆舜</t>
  </si>
  <si>
    <t>1月</t>
  </si>
  <si>
    <t>电子胶</t>
  </si>
  <si>
    <t>苏</t>
  </si>
  <si>
    <t>仁安</t>
  </si>
  <si>
    <t>彭</t>
  </si>
  <si>
    <t>6月33万，7月22万，8月46万</t>
  </si>
  <si>
    <t>水性漆</t>
  </si>
  <si>
    <t>张</t>
  </si>
  <si>
    <t>安庆诚泰</t>
  </si>
  <si>
    <t>金贵</t>
  </si>
  <si>
    <t>恒光</t>
  </si>
  <si>
    <t>编制</t>
  </si>
  <si>
    <t>采购总经理审核</t>
  </si>
  <si>
    <t>财务总经理审批</t>
  </si>
  <si>
    <t>付款截止日期</t>
  </si>
  <si>
    <t>付款优先级，且如超账龄较多，则付款计划不超过总欠款的30%，且所有付款计划不超过总余额的50%。</t>
  </si>
  <si>
    <t>贷款信息-放款日期、可支付主体、收款方式（电汇、承兑）</t>
  </si>
  <si>
    <t>4月付款计划</t>
  </si>
  <si>
    <t>第1笔-中行1000万流贷-15号-集泰、电汇和银承的</t>
  </si>
  <si>
    <t>第2笔-浦发1500万银承-20号</t>
  </si>
  <si>
    <t>第3笔-浦发1500万银承</t>
  </si>
  <si>
    <t>第4笔-中行1000万流贷</t>
  </si>
  <si>
    <t>第5笔-中行易信522万</t>
  </si>
  <si>
    <t>第6笔-商承、融资</t>
  </si>
  <si>
    <t>资金计划</t>
  </si>
  <si>
    <t>合计已排款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</si>
</sst>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</numFmts>
  <fonts count="31">
    <font>
      <sz val="11"/>
      <color theme="1"/>
      <name val="宋体"/>
      <charset val="134"/>
      <scheme val="minor"/>
    </font>
    <font>
      <b/>
      <sz val="20"/>
      <name val="等线"/>
      <charset val="134"/>
    </font>
    <font>
      <b/>
      <sz val="10"/>
      <name val="等线"/>
      <charset val="134"/>
    </font>
    <font>
      <b/>
      <sz val="11"/>
      <name val="等线"/>
      <charset val="134"/>
    </font>
    <font>
      <b/>
      <sz val="14"/>
      <name val="等线"/>
      <charset val="134"/>
    </font>
    <font>
      <b/>
      <sz val="14"/>
      <color theme="1"/>
      <name val="等线"/>
      <charset val="134"/>
    </font>
    <font>
      <b/>
      <sz val="12"/>
      <name val="等线"/>
      <charset val="134"/>
    </font>
    <font>
      <b/>
      <strike/>
      <sz val="12"/>
      <name val="等线"/>
      <charset val="134"/>
    </font>
    <font>
      <sz val="11"/>
      <color theme="1"/>
      <name val="等线"/>
      <charset val="134"/>
    </font>
    <font>
      <sz val="10"/>
      <name val="等线"/>
      <charset val="134"/>
    </font>
    <font>
      <b/>
      <sz val="11"/>
      <color theme="1"/>
      <name val="等线"/>
      <charset val="134"/>
    </font>
    <font>
      <b/>
      <sz val="12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0" fillId="4" borderId="6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7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19" fillId="0" borderId="0">
      <alignment vertical="center"/>
    </xf>
    <xf numFmtId="0" fontId="20" fillId="5" borderId="9">
      <alignment vertical="center"/>
    </xf>
    <xf numFmtId="0" fontId="21" fillId="6" borderId="10">
      <alignment vertical="center"/>
    </xf>
    <xf numFmtId="0" fontId="22" fillId="6" borderId="9">
      <alignment vertical="center"/>
    </xf>
    <xf numFmtId="0" fontId="23" fillId="7" borderId="11">
      <alignment vertical="center"/>
    </xf>
    <xf numFmtId="0" fontId="24" fillId="0" borderId="12">
      <alignment vertical="center"/>
    </xf>
    <xf numFmtId="0" fontId="25" fillId="0" borderId="13">
      <alignment vertical="center"/>
    </xf>
    <xf numFmtId="0" fontId="26" fillId="8" borderId="0">
      <alignment vertical="center"/>
    </xf>
    <xf numFmtId="0" fontId="27" fillId="9" borderId="0">
      <alignment vertical="center"/>
    </xf>
    <xf numFmtId="0" fontId="28" fillId="10" borderId="0">
      <alignment vertical="center"/>
    </xf>
    <xf numFmtId="0" fontId="29" fillId="11" borderId="0">
      <alignment vertical="center"/>
    </xf>
    <xf numFmtId="0" fontId="30" fillId="12" borderId="0">
      <alignment vertical="center"/>
    </xf>
    <xf numFmtId="0" fontId="30" fillId="13" borderId="0">
      <alignment vertical="center"/>
    </xf>
    <xf numFmtId="0" fontId="29" fillId="14" borderId="0">
      <alignment vertical="center"/>
    </xf>
    <xf numFmtId="0" fontId="29" fillId="15" borderId="0">
      <alignment vertical="center"/>
    </xf>
    <xf numFmtId="0" fontId="30" fillId="16" borderId="0">
      <alignment vertical="center"/>
    </xf>
    <xf numFmtId="0" fontId="30" fillId="17" borderId="0">
      <alignment vertical="center"/>
    </xf>
    <xf numFmtId="0" fontId="29" fillId="18" borderId="0">
      <alignment vertical="center"/>
    </xf>
    <xf numFmtId="0" fontId="29" fillId="19" borderId="0">
      <alignment vertical="center"/>
    </xf>
    <xf numFmtId="0" fontId="30" fillId="20" borderId="0">
      <alignment vertical="center"/>
    </xf>
    <xf numFmtId="0" fontId="30" fillId="21" borderId="0">
      <alignment vertical="center"/>
    </xf>
    <xf numFmtId="0" fontId="29" fillId="22" borderId="0">
      <alignment vertical="center"/>
    </xf>
    <xf numFmtId="0" fontId="29" fillId="23" borderId="0">
      <alignment vertical="center"/>
    </xf>
    <xf numFmtId="0" fontId="30" fillId="24" borderId="0">
      <alignment vertical="center"/>
    </xf>
    <xf numFmtId="0" fontId="30" fillId="25" borderId="0">
      <alignment vertical="center"/>
    </xf>
    <xf numFmtId="0" fontId="29" fillId="26" borderId="0">
      <alignment vertical="center"/>
    </xf>
    <xf numFmtId="0" fontId="29" fillId="27" borderId="0">
      <alignment vertical="center"/>
    </xf>
    <xf numFmtId="0" fontId="30" fillId="28" borderId="0">
      <alignment vertical="center"/>
    </xf>
    <xf numFmtId="0" fontId="30" fillId="29" borderId="0">
      <alignment vertical="center"/>
    </xf>
    <xf numFmtId="0" fontId="29" fillId="30" borderId="0">
      <alignment vertical="center"/>
    </xf>
    <xf numFmtId="0" fontId="29" fillId="31" borderId="0">
      <alignment vertical="center"/>
    </xf>
    <xf numFmtId="0" fontId="30" fillId="32" borderId="0">
      <alignment vertical="center"/>
    </xf>
    <xf numFmtId="0" fontId="30" fillId="33" borderId="0">
      <alignment vertical="center"/>
    </xf>
    <xf numFmtId="0" fontId="29" fillId="34" borderId="0">
      <alignment vertical="center"/>
    </xf>
  </cellStyleXfs>
  <cellXfs count="31">
    <xf numFmtId="0" fontId="0" fillId="0" borderId="0" xfId="0" applyAlignment="1">
      <alignment vertical="center"/>
    </xf>
    <xf numFmtId="176" fontId="1" fillId="0" borderId="1" xfId="0" applyNumberFormat="1" applyFont="1" applyFill="1" applyBorder="1" applyAlignment="1">
      <alignment horizontal="center" vertical="center"/>
    </xf>
    <xf numFmtId="176" fontId="1" fillId="0" borderId="2" xfId="0" applyNumberFormat="1" applyFont="1" applyFill="1" applyBorder="1" applyAlignment="1">
      <alignment horizontal="center" vertical="center"/>
    </xf>
    <xf numFmtId="176" fontId="1" fillId="0" borderId="3" xfId="0" applyNumberFormat="1" applyFont="1" applyFill="1" applyBorder="1" applyAlignment="1">
      <alignment horizontal="center" vertical="center"/>
    </xf>
    <xf numFmtId="176" fontId="2" fillId="0" borderId="0" xfId="0" applyNumberFormat="1" applyFont="1" applyFill="1" applyBorder="1" applyAlignment="1">
      <alignment horizontal="center" vertical="center"/>
    </xf>
    <xf numFmtId="176" fontId="3" fillId="0" borderId="4" xfId="0" applyNumberFormat="1" applyFont="1" applyFill="1" applyBorder="1" applyAlignment="1">
      <alignment vertical="center" wrapText="1"/>
    </xf>
    <xf numFmtId="176" fontId="3" fillId="0" borderId="4" xfId="0" applyNumberFormat="1" applyFont="1" applyFill="1" applyBorder="1" applyAlignment="1">
      <alignment vertical="center"/>
    </xf>
    <xf numFmtId="176" fontId="3" fillId="0" borderId="4" xfId="0" applyNumberFormat="1" applyFont="1" applyFill="1" applyBorder="1" applyAlignment="1">
      <alignment vertical="center"/>
    </xf>
    <xf numFmtId="0" fontId="3" fillId="0" borderId="4" xfId="0" applyFont="1" applyFill="1" applyBorder="1" applyAlignment="1">
      <alignment vertical="center" wrapText="1"/>
    </xf>
    <xf numFmtId="176" fontId="3" fillId="0" borderId="0" xfId="0" applyNumberFormat="1" applyFont="1" applyFill="1" applyAlignment="1">
      <alignment vertical="center"/>
    </xf>
    <xf numFmtId="49" fontId="3" fillId="0" borderId="4" xfId="0" applyNumberFormat="1" applyFont="1" applyFill="1" applyBorder="1" applyAlignment="1">
      <alignment horizontal="center" vertical="center"/>
    </xf>
    <xf numFmtId="0" fontId="4" fillId="2" borderId="4" xfId="0" applyNumberFormat="1" applyFont="1" applyFill="1" applyBorder="1" applyAlignment="1">
      <alignment horizontal="left" vertical="center"/>
    </xf>
    <xf numFmtId="176" fontId="3" fillId="2" borderId="4" xfId="0" applyNumberFormat="1" applyFont="1" applyFill="1" applyBorder="1" applyAlignment="1">
      <alignment vertical="center"/>
    </xf>
    <xf numFmtId="0" fontId="4" fillId="2" borderId="4" xfId="0" applyNumberFormat="1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/>
    </xf>
    <xf numFmtId="176" fontId="4" fillId="2" borderId="4" xfId="0" applyNumberFormat="1" applyFont="1" applyFill="1" applyBorder="1" applyAlignment="1">
      <alignment horizontal="center" vertical="center"/>
    </xf>
    <xf numFmtId="43" fontId="5" fillId="2" borderId="4" xfId="0" applyNumberFormat="1" applyFont="1" applyFill="1" applyBorder="1" applyAlignment="1">
      <alignment vertical="center"/>
    </xf>
    <xf numFmtId="0" fontId="3" fillId="0" borderId="4" xfId="0" applyNumberFormat="1" applyFont="1" applyFill="1" applyBorder="1" applyAlignment="1">
      <alignment horizontal="left" vertical="center" wrapText="1"/>
    </xf>
    <xf numFmtId="176" fontId="2" fillId="0" borderId="4" xfId="0" applyNumberFormat="1" applyFont="1" applyFill="1" applyBorder="1" applyAlignment="1">
      <alignment horizontal="left" vertical="center"/>
    </xf>
    <xf numFmtId="0" fontId="6" fillId="0" borderId="4" xfId="0" applyNumberFormat="1" applyFont="1" applyFill="1" applyBorder="1" applyAlignment="1">
      <alignment horizontal="left" vertical="center" wrapText="1"/>
    </xf>
    <xf numFmtId="0" fontId="7" fillId="0" borderId="4" xfId="0" applyNumberFormat="1" applyFont="1" applyFill="1" applyBorder="1" applyAlignment="1">
      <alignment horizontal="left" vertical="center" wrapText="1"/>
    </xf>
    <xf numFmtId="43" fontId="8" fillId="0" borderId="4" xfId="0" applyNumberFormat="1" applyFont="1" applyFill="1" applyBorder="1">
      <alignment vertical="center"/>
    </xf>
    <xf numFmtId="176" fontId="9" fillId="0" borderId="4" xfId="0" applyNumberFormat="1" applyFont="1" applyFill="1" applyBorder="1" applyAlignment="1">
      <alignment vertical="center"/>
    </xf>
    <xf numFmtId="176" fontId="4" fillId="0" borderId="4" xfId="0" applyNumberFormat="1" applyFont="1" applyFill="1" applyBorder="1" applyAlignment="1">
      <alignment horizontal="center" vertical="center"/>
    </xf>
    <xf numFmtId="43" fontId="5" fillId="0" borderId="4" xfId="0" applyNumberFormat="1" applyFont="1" applyFill="1" applyBorder="1" applyAlignment="1">
      <alignment vertical="center"/>
    </xf>
    <xf numFmtId="176" fontId="2" fillId="0" borderId="4" xfId="0" applyNumberFormat="1" applyFont="1" applyFill="1" applyBorder="1" applyAlignment="1">
      <alignment horizontal="center" vertical="center" wrapText="1"/>
    </xf>
    <xf numFmtId="176" fontId="4" fillId="0" borderId="4" xfId="0" applyNumberFormat="1" applyFont="1" applyFill="1" applyBorder="1" applyAlignment="1">
      <alignment horizontal="left" vertical="center"/>
    </xf>
    <xf numFmtId="176" fontId="4" fillId="0" borderId="4" xfId="0" applyNumberFormat="1" applyFont="1" applyFill="1" applyBorder="1" applyAlignment="1">
      <alignment horizontal="left" vertical="center" wrapText="1"/>
    </xf>
    <xf numFmtId="176" fontId="2" fillId="0" borderId="0" xfId="0" applyNumberFormat="1" applyFont="1" applyFill="1" applyBorder="1" applyAlignment="1">
      <alignment vertical="center"/>
    </xf>
    <xf numFmtId="43" fontId="10" fillId="3" borderId="5" xfId="0" applyNumberFormat="1" applyFont="1" applyFill="1" applyBorder="1" applyAlignment="1">
      <alignment vertical="center" wrapText="1"/>
    </xf>
    <xf numFmtId="43" fontId="11" fillId="3" borderId="5" xfId="0" applyNumberFormat="1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000000"/>
          <bgColor rgb="FF99CC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92D050"/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L13"/>
  <sheetViews>
    <sheetView zoomScale="90" zoomScaleNormal="90" workbookViewId="0">
      <selection activeCell="A1" sqref="$A1:$XFD1048576"/>
    </sheetView>
  </sheetViews>
  <sheetFormatPr defaultColWidth="9.23076923076923" defaultRowHeight="16.8"/>
  <cols>
    <col min="3" max="3" width="13.1442307692308" customWidth="1"/>
    <col min="4" max="4" width="7.04807692307692" customWidth="1"/>
    <col min="7" max="7" width="13.2307692307692" customWidth="1"/>
    <col min="8" max="8" width="22.6153846153846" customWidth="1"/>
    <col min="9" max="9" width="24.6730769230769" customWidth="1"/>
  </cols>
  <sheetData>
    <row r="1" customFormat="1" ht="28.8" spans="1:12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4"/>
      <c r="L1" s="4"/>
    </row>
    <row r="2" customFormat="1" ht="34" spans="1:12">
      <c r="A2" s="5" t="s">
        <v>1</v>
      </c>
      <c r="B2" s="5" t="s">
        <v>2</v>
      </c>
      <c r="C2" s="6" t="s">
        <v>3</v>
      </c>
      <c r="D2" s="7" t="s">
        <v>4</v>
      </c>
      <c r="E2" s="6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5" t="s">
        <v>10</v>
      </c>
      <c r="K2" s="9" t="s">
        <v>11</v>
      </c>
      <c r="L2" s="9" t="s">
        <v>12</v>
      </c>
    </row>
    <row r="3" customFormat="1" ht="21" spans="1:12">
      <c r="A3" s="10">
        <v>1</v>
      </c>
      <c r="B3" s="10" t="s">
        <v>13</v>
      </c>
      <c r="C3" s="11" t="s">
        <v>14</v>
      </c>
      <c r="D3" s="12" t="s">
        <v>15</v>
      </c>
      <c r="E3" s="13" t="s">
        <v>16</v>
      </c>
      <c r="F3" s="14">
        <v>60</v>
      </c>
      <c r="G3" s="15">
        <v>60</v>
      </c>
      <c r="H3" s="16">
        <v>261630</v>
      </c>
      <c r="I3" s="16">
        <v>261630</v>
      </c>
      <c r="J3" s="17"/>
      <c r="K3" s="9"/>
      <c r="L3" s="9"/>
    </row>
    <row r="4" customFormat="1" ht="21" spans="1:12">
      <c r="A4" s="10">
        <v>2</v>
      </c>
      <c r="B4" s="10" t="s">
        <v>13</v>
      </c>
      <c r="C4" s="11" t="s">
        <v>17</v>
      </c>
      <c r="D4" s="12" t="s">
        <v>15</v>
      </c>
      <c r="E4" s="13" t="s">
        <v>18</v>
      </c>
      <c r="F4" s="14">
        <v>180</v>
      </c>
      <c r="G4" s="15">
        <v>180</v>
      </c>
      <c r="H4" s="16">
        <v>2878852.29</v>
      </c>
      <c r="I4" s="16">
        <v>550000</v>
      </c>
      <c r="J4" s="18"/>
      <c r="K4" s="9"/>
      <c r="L4" s="9"/>
    </row>
    <row r="5" customFormat="1" ht="21" spans="1:12">
      <c r="A5" s="10">
        <v>3</v>
      </c>
      <c r="B5" s="10" t="s">
        <v>19</v>
      </c>
      <c r="C5" s="11" t="s">
        <v>14</v>
      </c>
      <c r="D5" s="12" t="s">
        <v>15</v>
      </c>
      <c r="E5" s="13" t="s">
        <v>16</v>
      </c>
      <c r="F5" s="14">
        <v>60</v>
      </c>
      <c r="G5" s="15">
        <v>60</v>
      </c>
      <c r="H5" s="16">
        <v>261630</v>
      </c>
      <c r="I5" s="16">
        <v>261630</v>
      </c>
      <c r="J5" s="19" t="s">
        <v>20</v>
      </c>
      <c r="K5" s="9" t="s">
        <v>21</v>
      </c>
      <c r="L5" s="9" t="s">
        <v>22</v>
      </c>
    </row>
    <row r="6" customFormat="1" ht="88" spans="1:12">
      <c r="A6" s="10">
        <v>4</v>
      </c>
      <c r="B6" s="10" t="s">
        <v>19</v>
      </c>
      <c r="C6" s="11" t="s">
        <v>23</v>
      </c>
      <c r="D6" s="12" t="s">
        <v>24</v>
      </c>
      <c r="E6" s="13" t="s">
        <v>18</v>
      </c>
      <c r="F6" s="14">
        <v>180</v>
      </c>
      <c r="G6" s="15">
        <v>180</v>
      </c>
      <c r="H6" s="16">
        <v>2878852.29</v>
      </c>
      <c r="I6" s="16">
        <v>550000</v>
      </c>
      <c r="J6" s="19" t="s">
        <v>25</v>
      </c>
      <c r="K6" s="9" t="s">
        <v>26</v>
      </c>
      <c r="L6" s="9" t="s">
        <v>27</v>
      </c>
    </row>
    <row r="7" customFormat="1" ht="21" spans="1:12">
      <c r="A7" s="10">
        <v>5</v>
      </c>
      <c r="B7" s="10" t="s">
        <v>28</v>
      </c>
      <c r="C7" s="11" t="s">
        <v>29</v>
      </c>
      <c r="D7" s="12" t="s">
        <v>15</v>
      </c>
      <c r="E7" s="13" t="s">
        <v>18</v>
      </c>
      <c r="F7" s="14">
        <v>180</v>
      </c>
      <c r="G7" s="15">
        <v>180</v>
      </c>
      <c r="H7" s="16">
        <v>2878852.29</v>
      </c>
      <c r="I7" s="16">
        <v>550000</v>
      </c>
      <c r="J7" s="20"/>
      <c r="K7" s="9"/>
      <c r="L7" s="9"/>
    </row>
    <row r="8" customFormat="1" ht="21" spans="1:12">
      <c r="A8" s="10">
        <v>6</v>
      </c>
      <c r="B8" s="10" t="s">
        <v>28</v>
      </c>
      <c r="C8" s="11" t="s">
        <v>17</v>
      </c>
      <c r="D8" s="12" t="s">
        <v>15</v>
      </c>
      <c r="E8" s="13" t="s">
        <v>18</v>
      </c>
      <c r="F8" s="14">
        <v>180</v>
      </c>
      <c r="G8" s="15">
        <v>180</v>
      </c>
      <c r="H8" s="16">
        <v>2878852.29</v>
      </c>
      <c r="I8" s="16">
        <v>550000</v>
      </c>
      <c r="J8" s="20"/>
      <c r="K8" s="9"/>
      <c r="L8" s="9"/>
    </row>
    <row r="9" customFormat="1" ht="21" spans="1:12">
      <c r="A9" s="10">
        <v>7</v>
      </c>
      <c r="B9" s="10" t="s">
        <v>28</v>
      </c>
      <c r="C9" s="11" t="s">
        <v>30</v>
      </c>
      <c r="D9" s="12" t="s">
        <v>24</v>
      </c>
      <c r="E9" s="13" t="s">
        <v>18</v>
      </c>
      <c r="F9" s="14">
        <v>180</v>
      </c>
      <c r="G9" s="15">
        <v>180</v>
      </c>
      <c r="H9" s="16">
        <v>2878852.29</v>
      </c>
      <c r="I9" s="16">
        <v>550000</v>
      </c>
      <c r="J9" s="20"/>
      <c r="K9" s="9"/>
      <c r="L9" s="9"/>
    </row>
    <row r="10" customFormat="1" ht="20.4" spans="1:12">
      <c r="A10" s="10"/>
      <c r="B10" s="10"/>
      <c r="C10" s="21"/>
      <c r="D10" s="21"/>
      <c r="E10" s="22"/>
      <c r="F10" s="22"/>
      <c r="G10" s="23"/>
      <c r="H10" s="24">
        <f>SUM(H5:H9)</f>
        <v>11777039.16</v>
      </c>
      <c r="I10" s="24">
        <f>SUM(I5:I9)</f>
        <v>2461630</v>
      </c>
      <c r="J10" s="19"/>
      <c r="K10" s="9"/>
      <c r="L10" s="9"/>
    </row>
    <row r="11" customFormat="1" ht="20.4" spans="1:12">
      <c r="A11" s="25"/>
      <c r="B11" s="25"/>
      <c r="C11" s="26"/>
      <c r="D11" s="26"/>
      <c r="E11" s="26"/>
      <c r="F11" s="26"/>
      <c r="G11" s="26"/>
      <c r="H11" s="26"/>
      <c r="I11" s="26"/>
      <c r="J11" s="27"/>
      <c r="K11" s="28"/>
      <c r="L11" s="28"/>
    </row>
    <row r="13" customFormat="1" spans="1:12">
      <c r="B13" t="s">
        <v>31</v>
      </c>
      <c r="C13"/>
      <c r="D13"/>
      <c r="E13"/>
      <c r="F13"/>
      <c r="G13" t="s">
        <v>32</v>
      </c>
      <c r="H13"/>
      <c r="I13" t="s">
        <v>33</v>
      </c>
    </row>
  </sheetData>
  <mergeCells count="2">
    <mergeCell ref="A1:J1"/>
    <mergeCell ref="C11:J11"/>
  </mergeCells>
  <conditionalFormatting sqref="C3">
    <cfRule type="expression" dxfId="0" priority="28" stopIfTrue="1">
      <formula>NOT(ISERROR(SEARCH("新安，江南",C3)))</formula>
    </cfRule>
    <cfRule type="expression" dxfId="0" priority="26" stopIfTrue="1">
      <formula>NOT(ISERROR(SEARCH("新安；江南",C3)))</formula>
    </cfRule>
    <cfRule type="duplicateValues" dxfId="1" priority="24"/>
  </conditionalFormatting>
  <conditionalFormatting sqref="G3">
    <cfRule type="expression" dxfId="0" priority="32" stopIfTrue="1">
      <formula>NOT(ISERROR(SEARCH("新安，江南",G3)))</formula>
    </cfRule>
    <cfRule type="expression" dxfId="0" priority="30" stopIfTrue="1">
      <formula>NOT(ISERROR(SEARCH("新安；江南",G3)))</formula>
    </cfRule>
  </conditionalFormatting>
  <conditionalFormatting sqref="C4">
    <cfRule type="expression" dxfId="0" priority="29" stopIfTrue="1">
      <formula>NOT(ISERROR(SEARCH("新安，江南",C4)))</formula>
    </cfRule>
    <cfRule type="expression" dxfId="0" priority="27" stopIfTrue="1">
      <formula>NOT(ISERROR(SEARCH("新安；江南",C4)))</formula>
    </cfRule>
    <cfRule type="duplicateValues" dxfId="1" priority="25"/>
  </conditionalFormatting>
  <conditionalFormatting sqref="G4">
    <cfRule type="expression" dxfId="0" priority="33" stopIfTrue="1">
      <formula>NOT(ISERROR(SEARCH("新安，江南",G4)))</formula>
    </cfRule>
    <cfRule type="expression" dxfId="0" priority="31" stopIfTrue="1">
      <formula>NOT(ISERROR(SEARCH("新安；江南",G4)))</formula>
    </cfRule>
  </conditionalFormatting>
  <conditionalFormatting sqref="C5">
    <cfRule type="expression" dxfId="0" priority="40" stopIfTrue="1">
      <formula>NOT(ISERROR(SEARCH("新安，江南",C5)))</formula>
    </cfRule>
    <cfRule type="expression" dxfId="0" priority="38" stopIfTrue="1">
      <formula>NOT(ISERROR(SEARCH("新安；江南",C5)))</formula>
    </cfRule>
    <cfRule type="duplicateValues" dxfId="1" priority="36"/>
  </conditionalFormatting>
  <conditionalFormatting sqref="G5">
    <cfRule type="expression" dxfId="0" priority="44" stopIfTrue="1">
      <formula>NOT(ISERROR(SEARCH("新安，江南",G5)))</formula>
    </cfRule>
    <cfRule type="expression" dxfId="0" priority="42" stopIfTrue="1">
      <formula>NOT(ISERROR(SEARCH("新安；江南",G5)))</formula>
    </cfRule>
  </conditionalFormatting>
  <conditionalFormatting sqref="C6">
    <cfRule type="expression" dxfId="0" priority="41" stopIfTrue="1">
      <formula>NOT(ISERROR(SEARCH("新安，江南",C6)))</formula>
    </cfRule>
    <cfRule type="expression" dxfId="0" priority="39" stopIfTrue="1">
      <formula>NOT(ISERROR(SEARCH("新安；江南",C6)))</formula>
    </cfRule>
    <cfRule type="duplicateValues" dxfId="1" priority="37"/>
  </conditionalFormatting>
  <conditionalFormatting sqref="G6">
    <cfRule type="expression" dxfId="0" priority="45" stopIfTrue="1">
      <formula>NOT(ISERROR(SEARCH("新安，江南",G6)))</formula>
    </cfRule>
    <cfRule type="expression" dxfId="0" priority="43" stopIfTrue="1">
      <formula>NOT(ISERROR(SEARCH("新安；江南",G6)))</formula>
    </cfRule>
  </conditionalFormatting>
  <conditionalFormatting sqref="C7">
    <cfRule type="expression" dxfId="0" priority="19" stopIfTrue="1">
      <formula>NOT(ISERROR(SEARCH("新安，江南",C7)))</formula>
    </cfRule>
    <cfRule type="expression" dxfId="0" priority="18" stopIfTrue="1">
      <formula>NOT(ISERROR(SEARCH("新安；江南",C7)))</formula>
    </cfRule>
    <cfRule type="duplicateValues" dxfId="1" priority="17"/>
    <cfRule type="duplicateValues" dxfId="1" priority="16"/>
    <cfRule type="duplicateValues" dxfId="1" priority="15"/>
  </conditionalFormatting>
  <conditionalFormatting sqref="G7">
    <cfRule type="expression" dxfId="0" priority="21" stopIfTrue="1">
      <formula>NOT(ISERROR(SEARCH("新安，江南",G7)))</formula>
    </cfRule>
    <cfRule type="expression" dxfId="0" priority="20" stopIfTrue="1">
      <formula>NOT(ISERROR(SEARCH("新安；江南",G7)))</formula>
    </cfRule>
  </conditionalFormatting>
  <conditionalFormatting sqref="C8">
    <cfRule type="expression" dxfId="0" priority="12" stopIfTrue="1">
      <formula>NOT(ISERROR(SEARCH("新安，江南",C8)))</formula>
    </cfRule>
    <cfRule type="expression" dxfId="0" priority="11" stopIfTrue="1">
      <formula>NOT(ISERROR(SEARCH("新安；江南",C8)))</formula>
    </cfRule>
    <cfRule type="duplicateValues" dxfId="1" priority="10"/>
    <cfRule type="duplicateValues" dxfId="1" priority="9"/>
    <cfRule type="duplicateValues" dxfId="1" priority="8"/>
  </conditionalFormatting>
  <conditionalFormatting sqref="G8">
    <cfRule type="expression" dxfId="0" priority="14" stopIfTrue="1">
      <formula>NOT(ISERROR(SEARCH("新安，江南",G8)))</formula>
    </cfRule>
    <cfRule type="expression" dxfId="0" priority="13" stopIfTrue="1">
      <formula>NOT(ISERROR(SEARCH("新安；江南",G8)))</formula>
    </cfRule>
  </conditionalFormatting>
  <conditionalFormatting sqref="C9">
    <cfRule type="expression" dxfId="0" priority="5" stopIfTrue="1">
      <formula>NOT(ISERROR(SEARCH("新安，江南",C9)))</formula>
    </cfRule>
    <cfRule type="expression" dxfId="0" priority="4" stopIfTrue="1">
      <formula>NOT(ISERROR(SEARCH("新安；江南",C9)))</formula>
    </cfRule>
    <cfRule type="duplicateValues" dxfId="1" priority="3"/>
    <cfRule type="duplicateValues" dxfId="1" priority="2"/>
    <cfRule type="duplicateValues" dxfId="1" priority="1"/>
  </conditionalFormatting>
  <conditionalFormatting sqref="G9">
    <cfRule type="expression" dxfId="0" priority="7" stopIfTrue="1">
      <formula>NOT(ISERROR(SEARCH("新安，江南",G9)))</formula>
    </cfRule>
    <cfRule type="expression" dxfId="0" priority="6" stopIfTrue="1">
      <formula>NOT(ISERROR(SEARCH("新安；江南",G9)))</formula>
    </cfRule>
  </conditionalFormatting>
  <conditionalFormatting sqref="G10">
    <cfRule type="expression" dxfId="0" priority="49" stopIfTrue="1">
      <formula>NOT(ISERROR(SEARCH("新安，江南",G10)))</formula>
    </cfRule>
    <cfRule type="expression" dxfId="0" priority="48" stopIfTrue="1">
      <formula>NOT(ISERROR(SEARCH("新安；江南",G10)))</formula>
    </cfRule>
  </conditionalFormatting>
  <conditionalFormatting sqref="C3:C4">
    <cfRule type="duplicateValues" dxfId="1" priority="23"/>
    <cfRule type="duplicateValues" dxfId="1" priority="22"/>
  </conditionalFormatting>
  <conditionalFormatting sqref="C2 C11:D11">
    <cfRule type="duplicateValues" dxfId="1" priority="47"/>
  </conditionalFormatting>
  <conditionalFormatting sqref="C2 C10:D11">
    <cfRule type="duplicateValues" dxfId="1" priority="46"/>
  </conditionalFormatting>
  <conditionalFormatting sqref="C2 C5:C6 C10:D11">
    <cfRule type="duplicateValues" dxfId="1" priority="35"/>
    <cfRule type="duplicateValues" dxfId="1" priority="34"/>
  </conditionalFormatting>
  <pageMargins left="0.75" right="0.75" top="0.432638888888889" bottom="0.275" header="0.5" footer="0.5"/>
  <pageSetup paperSize="9" scale="32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$A1:$XFD1048576"/>
    </sheetView>
  </sheetViews>
  <sheetFormatPr defaultColWidth="9.23076923076923" defaultRowHeight="16.8"/>
  <cols>
    <col min="3" max="3" width="13.1442307692308" customWidth="1"/>
    <col min="4" max="4" width="7.04807692307692" customWidth="1"/>
    <col min="7" max="7" width="13.2307692307692" customWidth="1"/>
    <col min="8" max="8" width="22.6153846153846" customWidth="1"/>
    <col min="9" max="9" width="24.6730769230769" customWidth="1"/>
  </cols>
  <sheetData>
    <row r="1" ht="28.8" spans="1:12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4"/>
      <c r="L1" s="4"/>
    </row>
    <row r="2" ht="34" spans="1:12">
      <c r="A2" s="5" t="s">
        <v>1</v>
      </c>
      <c r="B2" s="5" t="s">
        <v>2</v>
      </c>
      <c r="C2" s="6" t="s">
        <v>3</v>
      </c>
      <c r="D2" s="7" t="s">
        <v>4</v>
      </c>
      <c r="E2" s="6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5" t="s">
        <v>10</v>
      </c>
      <c r="K2" s="9" t="s">
        <v>11</v>
      </c>
      <c r="L2" s="9" t="s">
        <v>12</v>
      </c>
    </row>
    <row r="3" ht="21" spans="1:12">
      <c r="A3" s="10">
        <v>1</v>
      </c>
      <c r="B3" s="10" t="s">
        <v>13</v>
      </c>
      <c r="C3" s="11" t="s">
        <v>14</v>
      </c>
      <c r="D3" s="12" t="s">
        <v>15</v>
      </c>
      <c r="E3" s="13" t="s">
        <v>16</v>
      </c>
      <c r="F3" s="14">
        <v>60</v>
      </c>
      <c r="G3" s="15">
        <v>60</v>
      </c>
      <c r="H3" s="16">
        <v>261630</v>
      </c>
      <c r="I3" s="16">
        <v>261630</v>
      </c>
      <c r="J3" s="17"/>
      <c r="K3" s="9"/>
      <c r="L3" s="9"/>
    </row>
    <row r="4" ht="21" spans="1:12">
      <c r="A4" s="10">
        <v>2</v>
      </c>
      <c r="B4" s="10" t="s">
        <v>13</v>
      </c>
      <c r="C4" s="11" t="s">
        <v>17</v>
      </c>
      <c r="D4" s="12" t="s">
        <v>15</v>
      </c>
      <c r="E4" s="13" t="s">
        <v>18</v>
      </c>
      <c r="F4" s="14">
        <v>180</v>
      </c>
      <c r="G4" s="15">
        <v>180</v>
      </c>
      <c r="H4" s="16">
        <v>2878852.29</v>
      </c>
      <c r="I4" s="16">
        <v>550000</v>
      </c>
      <c r="J4" s="18"/>
      <c r="K4" s="9"/>
      <c r="L4" s="9"/>
    </row>
    <row r="5" ht="21" spans="1:12">
      <c r="A5" s="10">
        <v>3</v>
      </c>
      <c r="B5" s="10" t="s">
        <v>19</v>
      </c>
      <c r="C5" s="11" t="s">
        <v>14</v>
      </c>
      <c r="D5" s="12" t="s">
        <v>15</v>
      </c>
      <c r="E5" s="13" t="s">
        <v>16</v>
      </c>
      <c r="F5" s="14">
        <v>60</v>
      </c>
      <c r="G5" s="15">
        <v>60</v>
      </c>
      <c r="H5" s="16">
        <v>261630</v>
      </c>
      <c r="I5" s="16">
        <v>261630</v>
      </c>
      <c r="J5" s="19" t="s">
        <v>20</v>
      </c>
      <c r="K5" s="9" t="s">
        <v>21</v>
      </c>
      <c r="L5" s="9" t="s">
        <v>22</v>
      </c>
    </row>
    <row r="6" ht="88" spans="1:12">
      <c r="A6" s="10">
        <v>4</v>
      </c>
      <c r="B6" s="10" t="s">
        <v>19</v>
      </c>
      <c r="C6" s="11" t="s">
        <v>23</v>
      </c>
      <c r="D6" s="12" t="s">
        <v>24</v>
      </c>
      <c r="E6" s="13" t="s">
        <v>18</v>
      </c>
      <c r="F6" s="14">
        <v>180</v>
      </c>
      <c r="G6" s="15">
        <v>180</v>
      </c>
      <c r="H6" s="16">
        <v>2878852.29</v>
      </c>
      <c r="I6" s="16">
        <v>550000</v>
      </c>
      <c r="J6" s="19" t="s">
        <v>25</v>
      </c>
      <c r="K6" s="9" t="s">
        <v>26</v>
      </c>
      <c r="L6" s="9" t="s">
        <v>27</v>
      </c>
    </row>
    <row r="7" ht="21" spans="1:12">
      <c r="A7" s="10">
        <v>5</v>
      </c>
      <c r="B7" s="10" t="s">
        <v>28</v>
      </c>
      <c r="C7" s="11" t="s">
        <v>29</v>
      </c>
      <c r="D7" s="12" t="s">
        <v>15</v>
      </c>
      <c r="E7" s="13" t="s">
        <v>18</v>
      </c>
      <c r="F7" s="14">
        <v>180</v>
      </c>
      <c r="G7" s="15">
        <v>180</v>
      </c>
      <c r="H7" s="16">
        <v>2878852.29</v>
      </c>
      <c r="I7" s="16">
        <v>550000</v>
      </c>
      <c r="J7" s="20"/>
      <c r="K7" s="9"/>
      <c r="L7" s="9"/>
    </row>
    <row r="8" ht="21" spans="1:12">
      <c r="A8" s="10">
        <v>6</v>
      </c>
      <c r="B8" s="10" t="s">
        <v>28</v>
      </c>
      <c r="C8" s="11" t="s">
        <v>17</v>
      </c>
      <c r="D8" s="12" t="s">
        <v>15</v>
      </c>
      <c r="E8" s="13" t="s">
        <v>18</v>
      </c>
      <c r="F8" s="14">
        <v>180</v>
      </c>
      <c r="G8" s="15">
        <v>180</v>
      </c>
      <c r="H8" s="16">
        <v>2878852.29</v>
      </c>
      <c r="I8" s="16">
        <v>550000</v>
      </c>
      <c r="J8" s="20"/>
      <c r="K8" s="9"/>
      <c r="L8" s="9"/>
    </row>
    <row r="9" ht="21" spans="1:12">
      <c r="A9" s="10">
        <v>7</v>
      </c>
      <c r="B9" s="10" t="s">
        <v>28</v>
      </c>
      <c r="C9" s="11" t="s">
        <v>30</v>
      </c>
      <c r="D9" s="12" t="s">
        <v>24</v>
      </c>
      <c r="E9" s="13" t="s">
        <v>18</v>
      </c>
      <c r="F9" s="14">
        <v>180</v>
      </c>
      <c r="G9" s="15">
        <v>180</v>
      </c>
      <c r="H9" s="16">
        <v>2878852.29</v>
      </c>
      <c r="I9" s="16">
        <v>550000</v>
      </c>
      <c r="J9" s="20"/>
      <c r="K9" s="9"/>
      <c r="L9" s="9"/>
    </row>
    <row r="10" ht="20.4" spans="1:12">
      <c r="A10" s="10"/>
      <c r="B10" s="10"/>
      <c r="C10" s="21"/>
      <c r="D10" s="21"/>
      <c r="E10" s="22"/>
      <c r="F10" s="22"/>
      <c r="G10" s="23"/>
      <c r="H10" s="24">
        <f>SUM(H5:H9)</f>
        <v>11777039.16</v>
      </c>
      <c r="I10" s="24">
        <f>SUM(I5:I9)</f>
        <v>2461630</v>
      </c>
      <c r="J10" s="19"/>
      <c r="K10" s="9"/>
      <c r="L10" s="9"/>
    </row>
    <row r="11" ht="20.4" spans="1:12">
      <c r="A11" s="25"/>
      <c r="B11" s="25"/>
      <c r="C11" s="26"/>
      <c r="D11" s="26"/>
      <c r="E11" s="26"/>
      <c r="F11" s="26"/>
      <c r="G11" s="26"/>
      <c r="H11" s="26"/>
      <c r="I11" s="26"/>
      <c r="J11" s="27"/>
      <c r="K11" s="28"/>
      <c r="L11" s="28"/>
    </row>
    <row r="13" spans="1:12">
      <c r="B13" t="s">
        <v>31</v>
      </c>
      <c r="G13" t="s">
        <v>32</v>
      </c>
      <c r="I13" t="s">
        <v>33</v>
      </c>
    </row>
  </sheetData>
  <mergeCells count="2">
    <mergeCell ref="A1:J1"/>
    <mergeCell ref="C11:J11"/>
  </mergeCells>
  <conditionalFormatting sqref="C3">
    <cfRule type="duplicateValues" dxfId="1" priority="24"/>
    <cfRule type="expression" dxfId="0" priority="26" stopIfTrue="1">
      <formula>NOT(ISERROR(SEARCH("新安；江南",C3)))</formula>
    </cfRule>
    <cfRule type="expression" dxfId="0" priority="28" stopIfTrue="1">
      <formula>NOT(ISERROR(SEARCH("新安，江南",C3)))</formula>
    </cfRule>
  </conditionalFormatting>
  <conditionalFormatting sqref="G3">
    <cfRule type="expression" dxfId="0" priority="30" stopIfTrue="1">
      <formula>NOT(ISERROR(SEARCH("新安；江南",G3)))</formula>
    </cfRule>
    <cfRule type="expression" dxfId="0" priority="32" stopIfTrue="1">
      <formula>NOT(ISERROR(SEARCH("新安，江南",G3)))</formula>
    </cfRule>
  </conditionalFormatting>
  <conditionalFormatting sqref="C4">
    <cfRule type="duplicateValues" dxfId="1" priority="25"/>
    <cfRule type="expression" dxfId="0" priority="27" stopIfTrue="1">
      <formula>NOT(ISERROR(SEARCH("新安；江南",C4)))</formula>
    </cfRule>
    <cfRule type="expression" dxfId="0" priority="29" stopIfTrue="1">
      <formula>NOT(ISERROR(SEARCH("新安，江南",C4)))</formula>
    </cfRule>
  </conditionalFormatting>
  <conditionalFormatting sqref="G4">
    <cfRule type="expression" dxfId="0" priority="31" stopIfTrue="1">
      <formula>NOT(ISERROR(SEARCH("新安；江南",G4)))</formula>
    </cfRule>
    <cfRule type="expression" dxfId="0" priority="33" stopIfTrue="1">
      <formula>NOT(ISERROR(SEARCH("新安，江南",G4)))</formula>
    </cfRule>
  </conditionalFormatting>
  <conditionalFormatting sqref="C5">
    <cfRule type="duplicateValues" dxfId="1" priority="39"/>
    <cfRule type="expression" dxfId="0" priority="45" stopIfTrue="1">
      <formula>NOT(ISERROR(SEARCH("新安；江南",C5)))</formula>
    </cfRule>
    <cfRule type="expression" dxfId="0" priority="51" stopIfTrue="1">
      <formula>NOT(ISERROR(SEARCH("新安，江南",C5)))</formula>
    </cfRule>
  </conditionalFormatting>
  <conditionalFormatting sqref="G5">
    <cfRule type="expression" dxfId="0" priority="57" stopIfTrue="1">
      <formula>NOT(ISERROR(SEARCH("新安；江南",G5)))</formula>
    </cfRule>
    <cfRule type="expression" dxfId="0" priority="63" stopIfTrue="1">
      <formula>NOT(ISERROR(SEARCH("新安，江南",G5)))</formula>
    </cfRule>
  </conditionalFormatting>
  <conditionalFormatting sqref="C6">
    <cfRule type="duplicateValues" dxfId="1" priority="41"/>
    <cfRule type="expression" dxfId="0" priority="47" stopIfTrue="1">
      <formula>NOT(ISERROR(SEARCH("新安；江南",C6)))</formula>
    </cfRule>
    <cfRule type="expression" dxfId="0" priority="53" stopIfTrue="1">
      <formula>NOT(ISERROR(SEARCH("新安，江南",C6)))</formula>
    </cfRule>
  </conditionalFormatting>
  <conditionalFormatting sqref="G6">
    <cfRule type="expression" dxfId="0" priority="59" stopIfTrue="1">
      <formula>NOT(ISERROR(SEARCH("新安；江南",G6)))</formula>
    </cfRule>
    <cfRule type="expression" dxfId="0" priority="65" stopIfTrue="1">
      <formula>NOT(ISERROR(SEARCH("新安，江南",G6)))</formula>
    </cfRule>
  </conditionalFormatting>
  <conditionalFormatting sqref="C7">
    <cfRule type="duplicateValues" dxfId="1" priority="15"/>
    <cfRule type="duplicateValues" dxfId="1" priority="16"/>
    <cfRule type="duplicateValues" dxfId="1" priority="17"/>
    <cfRule type="expression" dxfId="0" priority="18" stopIfTrue="1">
      <formula>NOT(ISERROR(SEARCH("新安；江南",C7)))</formula>
    </cfRule>
    <cfRule type="expression" dxfId="0" priority="19" stopIfTrue="1">
      <formula>NOT(ISERROR(SEARCH("新安，江南",C7)))</formula>
    </cfRule>
  </conditionalFormatting>
  <conditionalFormatting sqref="G7">
    <cfRule type="expression" dxfId="0" priority="20" stopIfTrue="1">
      <formula>NOT(ISERROR(SEARCH("新安；江南",G7)))</formula>
    </cfRule>
    <cfRule type="expression" dxfId="0" priority="21" stopIfTrue="1">
      <formula>NOT(ISERROR(SEARCH("新安，江南",G7)))</formula>
    </cfRule>
  </conditionalFormatting>
  <conditionalFormatting sqref="C8">
    <cfRule type="duplicateValues" dxfId="1" priority="8"/>
    <cfRule type="duplicateValues" dxfId="1" priority="9"/>
    <cfRule type="duplicateValues" dxfId="1" priority="10"/>
    <cfRule type="expression" dxfId="0" priority="11" stopIfTrue="1">
      <formula>NOT(ISERROR(SEARCH("新安；江南",C8)))</formula>
    </cfRule>
    <cfRule type="expression" dxfId="0" priority="12" stopIfTrue="1">
      <formula>NOT(ISERROR(SEARCH("新安，江南",C8)))</formula>
    </cfRule>
  </conditionalFormatting>
  <conditionalFormatting sqref="G8">
    <cfRule type="expression" dxfId="0" priority="13" stopIfTrue="1">
      <formula>NOT(ISERROR(SEARCH("新安；江南",G8)))</formula>
    </cfRule>
    <cfRule type="expression" dxfId="0" priority="14" stopIfTrue="1">
      <formula>NOT(ISERROR(SEARCH("新安，江南",G8)))</formula>
    </cfRule>
  </conditionalFormatting>
  <conditionalFormatting sqref="C9">
    <cfRule type="duplicateValues" dxfId="1" priority="1"/>
    <cfRule type="duplicateValues" dxfId="1" priority="2"/>
    <cfRule type="duplicateValues" dxfId="1" priority="3"/>
    <cfRule type="expression" dxfId="0" priority="4" stopIfTrue="1">
      <formula>NOT(ISERROR(SEARCH("新安；江南",C9)))</formula>
    </cfRule>
    <cfRule type="expression" dxfId="0" priority="5" stopIfTrue="1">
      <formula>NOT(ISERROR(SEARCH("新安，江南",C9)))</formula>
    </cfRule>
  </conditionalFormatting>
  <conditionalFormatting sqref="G9">
    <cfRule type="expression" dxfId="0" priority="6" stopIfTrue="1">
      <formula>NOT(ISERROR(SEARCH("新安；江南",G9)))</formula>
    </cfRule>
    <cfRule type="expression" dxfId="0" priority="7" stopIfTrue="1">
      <formula>NOT(ISERROR(SEARCH("新安，江南",G9)))</formula>
    </cfRule>
  </conditionalFormatting>
  <conditionalFormatting sqref="G10">
    <cfRule type="expression" dxfId="0" priority="69" stopIfTrue="1">
      <formula>NOT(ISERROR(SEARCH("新安；江南",G10)))</formula>
    </cfRule>
    <cfRule type="expression" dxfId="0" priority="70" stopIfTrue="1">
      <formula>NOT(ISERROR(SEARCH("新安，江南",G10)))</formula>
    </cfRule>
  </conditionalFormatting>
  <conditionalFormatting sqref="C3:C4">
    <cfRule type="duplicateValues" dxfId="1" priority="22"/>
    <cfRule type="duplicateValues" dxfId="1" priority="23"/>
  </conditionalFormatting>
  <conditionalFormatting sqref="C2 C5:C6 C10:D11">
    <cfRule type="duplicateValues" dxfId="1" priority="34"/>
    <cfRule type="duplicateValues" dxfId="1" priority="35"/>
  </conditionalFormatting>
  <conditionalFormatting sqref="C2 C10:D11">
    <cfRule type="duplicateValues" dxfId="1" priority="67"/>
  </conditionalFormatting>
  <conditionalFormatting sqref="C2 C11:D11">
    <cfRule type="duplicateValues" dxfId="1" priority="68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$A1:$XFD1048576"/>
    </sheetView>
  </sheetViews>
  <sheetFormatPr defaultColWidth="9.23076923076923" defaultRowHeight="16.8"/>
  <cols>
    <col min="3" max="3" width="13.1442307692308" customWidth="1"/>
    <col min="4" max="4" width="7.04807692307692" customWidth="1"/>
    <col min="7" max="7" width="13.2307692307692" customWidth="1"/>
    <col min="8" max="8" width="22.6153846153846" customWidth="1"/>
    <col min="9" max="9" width="24.6730769230769" customWidth="1"/>
  </cols>
  <sheetData>
    <row r="1" ht="28.8" spans="1:12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4"/>
      <c r="L1" s="4"/>
    </row>
    <row r="2" ht="34" spans="1:12">
      <c r="A2" s="5" t="s">
        <v>1</v>
      </c>
      <c r="B2" s="5" t="s">
        <v>2</v>
      </c>
      <c r="C2" s="6" t="s">
        <v>3</v>
      </c>
      <c r="D2" s="7" t="s">
        <v>4</v>
      </c>
      <c r="E2" s="6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5" t="s">
        <v>10</v>
      </c>
      <c r="K2" s="9" t="s">
        <v>11</v>
      </c>
      <c r="L2" s="9" t="s">
        <v>12</v>
      </c>
    </row>
    <row r="3" ht="21" spans="1:12">
      <c r="A3" s="10">
        <v>1</v>
      </c>
      <c r="B3" s="10" t="s">
        <v>13</v>
      </c>
      <c r="C3" s="11" t="s">
        <v>14</v>
      </c>
      <c r="D3" s="12" t="s">
        <v>15</v>
      </c>
      <c r="E3" s="13" t="s">
        <v>16</v>
      </c>
      <c r="F3" s="14">
        <v>60</v>
      </c>
      <c r="G3" s="15">
        <v>60</v>
      </c>
      <c r="H3" s="16">
        <v>261630</v>
      </c>
      <c r="I3" s="16">
        <v>261630</v>
      </c>
      <c r="J3" s="17"/>
      <c r="K3" s="9"/>
      <c r="L3" s="9"/>
    </row>
    <row r="4" ht="21" spans="1:12">
      <c r="A4" s="10">
        <v>2</v>
      </c>
      <c r="B4" s="10" t="s">
        <v>13</v>
      </c>
      <c r="C4" s="11" t="s">
        <v>17</v>
      </c>
      <c r="D4" s="12" t="s">
        <v>15</v>
      </c>
      <c r="E4" s="13" t="s">
        <v>18</v>
      </c>
      <c r="F4" s="14">
        <v>180</v>
      </c>
      <c r="G4" s="15">
        <v>180</v>
      </c>
      <c r="H4" s="16">
        <v>2878852.29</v>
      </c>
      <c r="I4" s="16">
        <v>550000</v>
      </c>
      <c r="J4" s="18"/>
      <c r="K4" s="9"/>
      <c r="L4" s="9"/>
    </row>
    <row r="5" ht="21" spans="1:12">
      <c r="A5" s="10">
        <v>3</v>
      </c>
      <c r="B5" s="10" t="s">
        <v>19</v>
      </c>
      <c r="C5" s="11" t="s">
        <v>14</v>
      </c>
      <c r="D5" s="12" t="s">
        <v>15</v>
      </c>
      <c r="E5" s="13" t="s">
        <v>16</v>
      </c>
      <c r="F5" s="14">
        <v>60</v>
      </c>
      <c r="G5" s="15">
        <v>60</v>
      </c>
      <c r="H5" s="16">
        <v>261630</v>
      </c>
      <c r="I5" s="16">
        <v>261630</v>
      </c>
      <c r="J5" s="19" t="s">
        <v>20</v>
      </c>
      <c r="K5" s="9" t="s">
        <v>21</v>
      </c>
      <c r="L5" s="9" t="s">
        <v>22</v>
      </c>
    </row>
    <row r="6" ht="88" spans="1:12">
      <c r="A6" s="10">
        <v>4</v>
      </c>
      <c r="B6" s="10" t="s">
        <v>19</v>
      </c>
      <c r="C6" s="11" t="s">
        <v>23</v>
      </c>
      <c r="D6" s="12" t="s">
        <v>24</v>
      </c>
      <c r="E6" s="13" t="s">
        <v>18</v>
      </c>
      <c r="F6" s="14">
        <v>180</v>
      </c>
      <c r="G6" s="15">
        <v>180</v>
      </c>
      <c r="H6" s="16">
        <v>2878852.29</v>
      </c>
      <c r="I6" s="16">
        <v>550000</v>
      </c>
      <c r="J6" s="19" t="s">
        <v>25</v>
      </c>
      <c r="K6" s="9" t="s">
        <v>26</v>
      </c>
      <c r="L6" s="9" t="s">
        <v>27</v>
      </c>
    </row>
    <row r="7" ht="21" spans="1:12">
      <c r="A7" s="10">
        <v>5</v>
      </c>
      <c r="B7" s="10" t="s">
        <v>28</v>
      </c>
      <c r="C7" s="11" t="s">
        <v>29</v>
      </c>
      <c r="D7" s="12" t="s">
        <v>15</v>
      </c>
      <c r="E7" s="13" t="s">
        <v>18</v>
      </c>
      <c r="F7" s="14">
        <v>180</v>
      </c>
      <c r="G7" s="15">
        <v>180</v>
      </c>
      <c r="H7" s="16">
        <v>2878852.29</v>
      </c>
      <c r="I7" s="16">
        <v>550000</v>
      </c>
      <c r="J7" s="20"/>
      <c r="K7" s="9"/>
      <c r="L7" s="9"/>
    </row>
    <row r="8" ht="21" spans="1:12">
      <c r="A8" s="10">
        <v>6</v>
      </c>
      <c r="B8" s="10" t="s">
        <v>28</v>
      </c>
      <c r="C8" s="11" t="s">
        <v>17</v>
      </c>
      <c r="D8" s="12" t="s">
        <v>15</v>
      </c>
      <c r="E8" s="13" t="s">
        <v>18</v>
      </c>
      <c r="F8" s="14">
        <v>180</v>
      </c>
      <c r="G8" s="15">
        <v>180</v>
      </c>
      <c r="H8" s="16">
        <v>2878852.29</v>
      </c>
      <c r="I8" s="16">
        <v>550000</v>
      </c>
      <c r="J8" s="20"/>
      <c r="K8" s="9"/>
      <c r="L8" s="9"/>
    </row>
    <row r="9" ht="21" spans="1:12">
      <c r="A9" s="10">
        <v>7</v>
      </c>
      <c r="B9" s="10" t="s">
        <v>28</v>
      </c>
      <c r="C9" s="11" t="s">
        <v>30</v>
      </c>
      <c r="D9" s="12" t="s">
        <v>24</v>
      </c>
      <c r="E9" s="13" t="s">
        <v>18</v>
      </c>
      <c r="F9" s="14">
        <v>180</v>
      </c>
      <c r="G9" s="15">
        <v>180</v>
      </c>
      <c r="H9" s="16">
        <v>2878852.29</v>
      </c>
      <c r="I9" s="16">
        <v>550000</v>
      </c>
      <c r="J9" s="20"/>
      <c r="K9" s="9"/>
      <c r="L9" s="9"/>
    </row>
    <row r="10" ht="20.4" spans="1:12">
      <c r="A10" s="10"/>
      <c r="B10" s="10"/>
      <c r="C10" s="21"/>
      <c r="D10" s="21"/>
      <c r="E10" s="22"/>
      <c r="F10" s="22"/>
      <c r="G10" s="23"/>
      <c r="H10" s="24">
        <f>SUM(H5:H9)</f>
        <v>11777039.16</v>
      </c>
      <c r="I10" s="24">
        <f>SUM(I5:I9)</f>
        <v>2461630</v>
      </c>
      <c r="J10" s="19"/>
      <c r="K10" s="9"/>
      <c r="L10" s="9"/>
    </row>
    <row r="11" ht="20.4" spans="1:12">
      <c r="A11" s="25"/>
      <c r="B11" s="25"/>
      <c r="C11" s="26"/>
      <c r="D11" s="26"/>
      <c r="E11" s="26"/>
      <c r="F11" s="26"/>
      <c r="G11" s="26"/>
      <c r="H11" s="26"/>
      <c r="I11" s="26"/>
      <c r="J11" s="27"/>
      <c r="K11" s="28"/>
      <c r="L11" s="28"/>
    </row>
    <row r="12" customFormat="1"/>
    <row r="13" customFormat="1" spans="1:12">
      <c r="B13" t="s">
        <v>31</v>
      </c>
      <c r="G13" t="s">
        <v>32</v>
      </c>
      <c r="I13" t="s">
        <v>33</v>
      </c>
    </row>
  </sheetData>
  <mergeCells count="2">
    <mergeCell ref="A1:J1"/>
    <mergeCell ref="C11:J11"/>
  </mergeCells>
  <conditionalFormatting sqref="C3">
    <cfRule type="expression" dxfId="0" priority="28" stopIfTrue="1">
      <formula>NOT(ISERROR(SEARCH("新安，江南",C3)))</formula>
    </cfRule>
    <cfRule type="expression" dxfId="0" priority="26" stopIfTrue="1">
      <formula>NOT(ISERROR(SEARCH("新安；江南",C3)))</formula>
    </cfRule>
    <cfRule type="duplicateValues" dxfId="1" priority="24"/>
  </conditionalFormatting>
  <conditionalFormatting sqref="G3">
    <cfRule type="expression" dxfId="0" priority="32" stopIfTrue="1">
      <formula>NOT(ISERROR(SEARCH("新安，江南",G3)))</formula>
    </cfRule>
    <cfRule type="expression" dxfId="0" priority="30" stopIfTrue="1">
      <formula>NOT(ISERROR(SEARCH("新安；江南",G3)))</formula>
    </cfRule>
  </conditionalFormatting>
  <conditionalFormatting sqref="C4">
    <cfRule type="expression" dxfId="0" priority="29" stopIfTrue="1">
      <formula>NOT(ISERROR(SEARCH("新安，江南",C4)))</formula>
    </cfRule>
    <cfRule type="expression" dxfId="0" priority="27" stopIfTrue="1">
      <formula>NOT(ISERROR(SEARCH("新安；江南",C4)))</formula>
    </cfRule>
    <cfRule type="duplicateValues" dxfId="1" priority="25"/>
  </conditionalFormatting>
  <conditionalFormatting sqref="G4">
    <cfRule type="expression" dxfId="0" priority="33" stopIfTrue="1">
      <formula>NOT(ISERROR(SEARCH("新安，江南",G4)))</formula>
    </cfRule>
    <cfRule type="expression" dxfId="0" priority="31" stopIfTrue="1">
      <formula>NOT(ISERROR(SEARCH("新安；江南",G4)))</formula>
    </cfRule>
  </conditionalFormatting>
  <conditionalFormatting sqref="C5">
    <cfRule type="expression" dxfId="0" priority="40" stopIfTrue="1">
      <formula>NOT(ISERROR(SEARCH("新安，江南",C5)))</formula>
    </cfRule>
    <cfRule type="expression" dxfId="0" priority="38" stopIfTrue="1">
      <formula>NOT(ISERROR(SEARCH("新安；江南",C5)))</formula>
    </cfRule>
    <cfRule type="duplicateValues" dxfId="1" priority="36"/>
  </conditionalFormatting>
  <conditionalFormatting sqref="G5">
    <cfRule type="expression" dxfId="0" priority="44" stopIfTrue="1">
      <formula>NOT(ISERROR(SEARCH("新安，江南",G5)))</formula>
    </cfRule>
    <cfRule type="expression" dxfId="0" priority="42" stopIfTrue="1">
      <formula>NOT(ISERROR(SEARCH("新安；江南",G5)))</formula>
    </cfRule>
  </conditionalFormatting>
  <conditionalFormatting sqref="C6">
    <cfRule type="expression" dxfId="0" priority="41" stopIfTrue="1">
      <formula>NOT(ISERROR(SEARCH("新安，江南",C6)))</formula>
    </cfRule>
    <cfRule type="expression" dxfId="0" priority="39" stopIfTrue="1">
      <formula>NOT(ISERROR(SEARCH("新安；江南",C6)))</formula>
    </cfRule>
    <cfRule type="duplicateValues" dxfId="1" priority="37"/>
  </conditionalFormatting>
  <conditionalFormatting sqref="G6">
    <cfRule type="expression" dxfId="0" priority="45" stopIfTrue="1">
      <formula>NOT(ISERROR(SEARCH("新安，江南",G6)))</formula>
    </cfRule>
    <cfRule type="expression" dxfId="0" priority="43" stopIfTrue="1">
      <formula>NOT(ISERROR(SEARCH("新安；江南",G6)))</formula>
    </cfRule>
  </conditionalFormatting>
  <conditionalFormatting sqref="C7">
    <cfRule type="expression" dxfId="0" priority="19" stopIfTrue="1">
      <formula>NOT(ISERROR(SEARCH("新安，江南",C7)))</formula>
    </cfRule>
    <cfRule type="expression" dxfId="0" priority="18" stopIfTrue="1">
      <formula>NOT(ISERROR(SEARCH("新安；江南",C7)))</formula>
    </cfRule>
    <cfRule type="duplicateValues" dxfId="1" priority="17"/>
    <cfRule type="duplicateValues" dxfId="1" priority="16"/>
    <cfRule type="duplicateValues" dxfId="1" priority="15"/>
  </conditionalFormatting>
  <conditionalFormatting sqref="G7">
    <cfRule type="expression" dxfId="0" priority="21" stopIfTrue="1">
      <formula>NOT(ISERROR(SEARCH("新安，江南",G7)))</formula>
    </cfRule>
    <cfRule type="expression" dxfId="0" priority="20" stopIfTrue="1">
      <formula>NOT(ISERROR(SEARCH("新安；江南",G7)))</formula>
    </cfRule>
  </conditionalFormatting>
  <conditionalFormatting sqref="C8">
    <cfRule type="expression" dxfId="0" priority="12" stopIfTrue="1">
      <formula>NOT(ISERROR(SEARCH("新安，江南",C8)))</formula>
    </cfRule>
    <cfRule type="expression" dxfId="0" priority="11" stopIfTrue="1">
      <formula>NOT(ISERROR(SEARCH("新安；江南",C8)))</formula>
    </cfRule>
    <cfRule type="duplicateValues" dxfId="1" priority="10"/>
    <cfRule type="duplicateValues" dxfId="1" priority="9"/>
    <cfRule type="duplicateValues" dxfId="1" priority="8"/>
  </conditionalFormatting>
  <conditionalFormatting sqref="G8">
    <cfRule type="expression" dxfId="0" priority="14" stopIfTrue="1">
      <formula>NOT(ISERROR(SEARCH("新安，江南",G8)))</formula>
    </cfRule>
    <cfRule type="expression" dxfId="0" priority="13" stopIfTrue="1">
      <formula>NOT(ISERROR(SEARCH("新安；江南",G8)))</formula>
    </cfRule>
  </conditionalFormatting>
  <conditionalFormatting sqref="C9">
    <cfRule type="expression" dxfId="0" priority="5" stopIfTrue="1">
      <formula>NOT(ISERROR(SEARCH("新安，江南",C9)))</formula>
    </cfRule>
    <cfRule type="expression" dxfId="0" priority="4" stopIfTrue="1">
      <formula>NOT(ISERROR(SEARCH("新安；江南",C9)))</formula>
    </cfRule>
    <cfRule type="duplicateValues" dxfId="1" priority="3"/>
    <cfRule type="duplicateValues" dxfId="1" priority="2"/>
    <cfRule type="duplicateValues" dxfId="1" priority="1"/>
  </conditionalFormatting>
  <conditionalFormatting sqref="G9">
    <cfRule type="expression" dxfId="0" priority="7" stopIfTrue="1">
      <formula>NOT(ISERROR(SEARCH("新安，江南",G9)))</formula>
    </cfRule>
    <cfRule type="expression" dxfId="0" priority="6" stopIfTrue="1">
      <formula>NOT(ISERROR(SEARCH("新安；江南",G9)))</formula>
    </cfRule>
  </conditionalFormatting>
  <conditionalFormatting sqref="G10">
    <cfRule type="expression" dxfId="0" priority="49" stopIfTrue="1">
      <formula>NOT(ISERROR(SEARCH("新安，江南",G10)))</formula>
    </cfRule>
    <cfRule type="expression" dxfId="0" priority="48" stopIfTrue="1">
      <formula>NOT(ISERROR(SEARCH("新安；江南",G10)))</formula>
    </cfRule>
  </conditionalFormatting>
  <conditionalFormatting sqref="C3:C4">
    <cfRule type="duplicateValues" dxfId="1" priority="23"/>
    <cfRule type="duplicateValues" dxfId="1" priority="22"/>
  </conditionalFormatting>
  <conditionalFormatting sqref="C2 C11:D11">
    <cfRule type="duplicateValues" dxfId="1" priority="47"/>
  </conditionalFormatting>
  <conditionalFormatting sqref="C2 C10:D11">
    <cfRule type="duplicateValues" dxfId="1" priority="46"/>
  </conditionalFormatting>
  <conditionalFormatting sqref="C2 C5:C6 C10:D11">
    <cfRule type="duplicateValues" dxfId="1" priority="35"/>
    <cfRule type="duplicateValues" dxfId="1" priority="34"/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$A1:$XFD1048576"/>
    </sheetView>
  </sheetViews>
  <sheetFormatPr defaultColWidth="9.23076923076923" defaultRowHeight="16.8"/>
  <cols>
    <col min="3" max="3" width="13.1442307692308" customWidth="1"/>
    <col min="4" max="4" width="7.04807692307692" customWidth="1"/>
    <col min="7" max="7" width="13.2307692307692" customWidth="1"/>
    <col min="8" max="8" width="22.6153846153846" customWidth="1"/>
    <col min="9" max="9" width="24.6730769230769" customWidth="1"/>
  </cols>
  <sheetData>
    <row r="1" ht="28.8" spans="1:12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4"/>
      <c r="L1" s="4"/>
    </row>
    <row r="2" ht="34" spans="1:12">
      <c r="A2" s="5" t="s">
        <v>1</v>
      </c>
      <c r="B2" s="5" t="s">
        <v>2</v>
      </c>
      <c r="C2" s="6" t="s">
        <v>3</v>
      </c>
      <c r="D2" s="7" t="s">
        <v>4</v>
      </c>
      <c r="E2" s="6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5" t="s">
        <v>10</v>
      </c>
      <c r="K2" s="9" t="s">
        <v>11</v>
      </c>
      <c r="L2" s="9" t="s">
        <v>12</v>
      </c>
    </row>
    <row r="3" ht="21" spans="1:12">
      <c r="A3" s="10">
        <v>1</v>
      </c>
      <c r="B3" s="10" t="s">
        <v>13</v>
      </c>
      <c r="C3" s="11" t="s">
        <v>14</v>
      </c>
      <c r="D3" s="12" t="s">
        <v>15</v>
      </c>
      <c r="E3" s="13" t="s">
        <v>16</v>
      </c>
      <c r="F3" s="14">
        <v>60</v>
      </c>
      <c r="G3" s="15">
        <v>60</v>
      </c>
      <c r="H3" s="16">
        <v>261630</v>
      </c>
      <c r="I3" s="16">
        <v>261630</v>
      </c>
      <c r="J3" s="17"/>
      <c r="K3" s="9"/>
      <c r="L3" s="9"/>
    </row>
    <row r="4" ht="21" spans="1:12">
      <c r="A4" s="10">
        <v>2</v>
      </c>
      <c r="B4" s="10" t="s">
        <v>13</v>
      </c>
      <c r="C4" s="11" t="s">
        <v>17</v>
      </c>
      <c r="D4" s="12" t="s">
        <v>15</v>
      </c>
      <c r="E4" s="13" t="s">
        <v>18</v>
      </c>
      <c r="F4" s="14">
        <v>180</v>
      </c>
      <c r="G4" s="15">
        <v>180</v>
      </c>
      <c r="H4" s="16">
        <v>2878852.29</v>
      </c>
      <c r="I4" s="16">
        <v>550000</v>
      </c>
      <c r="J4" s="18"/>
      <c r="K4" s="9"/>
      <c r="L4" s="9"/>
    </row>
    <row r="5" ht="21" spans="1:12">
      <c r="A5" s="10">
        <v>3</v>
      </c>
      <c r="B5" s="10" t="s">
        <v>19</v>
      </c>
      <c r="C5" s="11" t="s">
        <v>14</v>
      </c>
      <c r="D5" s="12" t="s">
        <v>15</v>
      </c>
      <c r="E5" s="13" t="s">
        <v>16</v>
      </c>
      <c r="F5" s="14">
        <v>60</v>
      </c>
      <c r="G5" s="15">
        <v>60</v>
      </c>
      <c r="H5" s="16">
        <v>261630</v>
      </c>
      <c r="I5" s="16">
        <v>261630</v>
      </c>
      <c r="J5" s="19" t="s">
        <v>20</v>
      </c>
      <c r="K5" s="9" t="s">
        <v>21</v>
      </c>
      <c r="L5" s="9" t="s">
        <v>22</v>
      </c>
    </row>
    <row r="6" ht="88" spans="1:12">
      <c r="A6" s="10">
        <v>4</v>
      </c>
      <c r="B6" s="10" t="s">
        <v>19</v>
      </c>
      <c r="C6" s="11" t="s">
        <v>23</v>
      </c>
      <c r="D6" s="12" t="s">
        <v>24</v>
      </c>
      <c r="E6" s="13" t="s">
        <v>18</v>
      </c>
      <c r="F6" s="14">
        <v>180</v>
      </c>
      <c r="G6" s="15">
        <v>180</v>
      </c>
      <c r="H6" s="16">
        <v>2878852.29</v>
      </c>
      <c r="I6" s="16">
        <v>550000</v>
      </c>
      <c r="J6" s="19" t="s">
        <v>25</v>
      </c>
      <c r="K6" s="9" t="s">
        <v>26</v>
      </c>
      <c r="L6" s="9" t="s">
        <v>27</v>
      </c>
    </row>
    <row r="7" ht="21" spans="1:12">
      <c r="A7" s="10">
        <v>5</v>
      </c>
      <c r="B7" s="10" t="s">
        <v>28</v>
      </c>
      <c r="C7" s="11" t="s">
        <v>29</v>
      </c>
      <c r="D7" s="12" t="s">
        <v>15</v>
      </c>
      <c r="E7" s="13" t="s">
        <v>18</v>
      </c>
      <c r="F7" s="14">
        <v>180</v>
      </c>
      <c r="G7" s="15">
        <v>180</v>
      </c>
      <c r="H7" s="16">
        <v>2878852.29</v>
      </c>
      <c r="I7" s="16">
        <v>550000</v>
      </c>
      <c r="J7" s="20"/>
      <c r="K7" s="9"/>
      <c r="L7" s="9"/>
    </row>
    <row r="8" ht="21" spans="1:12">
      <c r="A8" s="10">
        <v>6</v>
      </c>
      <c r="B8" s="10" t="s">
        <v>28</v>
      </c>
      <c r="C8" s="11" t="s">
        <v>17</v>
      </c>
      <c r="D8" s="12" t="s">
        <v>15</v>
      </c>
      <c r="E8" s="13" t="s">
        <v>18</v>
      </c>
      <c r="F8" s="14">
        <v>180</v>
      </c>
      <c r="G8" s="15">
        <v>180</v>
      </c>
      <c r="H8" s="16">
        <v>2878852.29</v>
      </c>
      <c r="I8" s="16">
        <v>550000</v>
      </c>
      <c r="J8" s="20"/>
      <c r="K8" s="9"/>
      <c r="L8" s="9"/>
    </row>
    <row r="9" ht="21" spans="1:12">
      <c r="A9" s="10">
        <v>7</v>
      </c>
      <c r="B9" s="10" t="s">
        <v>28</v>
      </c>
      <c r="C9" s="11" t="s">
        <v>30</v>
      </c>
      <c r="D9" s="12" t="s">
        <v>24</v>
      </c>
      <c r="E9" s="13" t="s">
        <v>18</v>
      </c>
      <c r="F9" s="14">
        <v>180</v>
      </c>
      <c r="G9" s="15">
        <v>180</v>
      </c>
      <c r="H9" s="16">
        <v>2878852.29</v>
      </c>
      <c r="I9" s="16">
        <v>550000</v>
      </c>
      <c r="J9" s="20"/>
      <c r="K9" s="9"/>
      <c r="L9" s="9"/>
    </row>
    <row r="10" ht="20.4" spans="1:12">
      <c r="A10" s="10"/>
      <c r="B10" s="10"/>
      <c r="C10" s="21"/>
      <c r="D10" s="21"/>
      <c r="E10" s="22"/>
      <c r="F10" s="22"/>
      <c r="G10" s="23"/>
      <c r="H10" s="24">
        <f>SUM(H5:H9)</f>
        <v>11777039.16</v>
      </c>
      <c r="I10" s="24">
        <f>SUM(I5:I9)</f>
        <v>2461630</v>
      </c>
      <c r="J10" s="19"/>
      <c r="K10" s="9"/>
      <c r="L10" s="9"/>
    </row>
    <row r="11" ht="20.4" spans="1:12">
      <c r="A11" s="25"/>
      <c r="B11" s="25"/>
      <c r="C11" s="26"/>
      <c r="D11" s="26"/>
      <c r="E11" s="26"/>
      <c r="F11" s="26"/>
      <c r="G11" s="26"/>
      <c r="H11" s="26"/>
      <c r="I11" s="26"/>
      <c r="J11" s="27"/>
      <c r="K11" s="28"/>
      <c r="L11" s="28"/>
    </row>
    <row r="12" customFormat="1"/>
    <row r="13" customFormat="1" spans="1:12">
      <c r="B13" t="s">
        <v>31</v>
      </c>
      <c r="G13" t="s">
        <v>32</v>
      </c>
      <c r="I13" t="s">
        <v>33</v>
      </c>
    </row>
  </sheetData>
  <mergeCells count="2">
    <mergeCell ref="A1:J1"/>
    <mergeCell ref="C11:J11"/>
  </mergeCells>
  <conditionalFormatting sqref="C3">
    <cfRule type="expression" dxfId="0" priority="28" stopIfTrue="1">
      <formula>NOT(ISERROR(SEARCH("新安，江南",C3)))</formula>
    </cfRule>
    <cfRule type="expression" dxfId="0" priority="26" stopIfTrue="1">
      <formula>NOT(ISERROR(SEARCH("新安；江南",C3)))</formula>
    </cfRule>
    <cfRule type="duplicateValues" dxfId="1" priority="24"/>
  </conditionalFormatting>
  <conditionalFormatting sqref="G3">
    <cfRule type="expression" dxfId="0" priority="32" stopIfTrue="1">
      <formula>NOT(ISERROR(SEARCH("新安，江南",G3)))</formula>
    </cfRule>
    <cfRule type="expression" dxfId="0" priority="30" stopIfTrue="1">
      <formula>NOT(ISERROR(SEARCH("新安；江南",G3)))</formula>
    </cfRule>
  </conditionalFormatting>
  <conditionalFormatting sqref="C4">
    <cfRule type="expression" dxfId="0" priority="29" stopIfTrue="1">
      <formula>NOT(ISERROR(SEARCH("新安，江南",C4)))</formula>
    </cfRule>
    <cfRule type="expression" dxfId="0" priority="27" stopIfTrue="1">
      <formula>NOT(ISERROR(SEARCH("新安；江南",C4)))</formula>
    </cfRule>
    <cfRule type="duplicateValues" dxfId="1" priority="25"/>
  </conditionalFormatting>
  <conditionalFormatting sqref="G4">
    <cfRule type="expression" dxfId="0" priority="33" stopIfTrue="1">
      <formula>NOT(ISERROR(SEARCH("新安，江南",G4)))</formula>
    </cfRule>
    <cfRule type="expression" dxfId="0" priority="31" stopIfTrue="1">
      <formula>NOT(ISERROR(SEARCH("新安；江南",G4)))</formula>
    </cfRule>
  </conditionalFormatting>
  <conditionalFormatting sqref="C5">
    <cfRule type="expression" dxfId="0" priority="40" stopIfTrue="1">
      <formula>NOT(ISERROR(SEARCH("新安，江南",C5)))</formula>
    </cfRule>
    <cfRule type="expression" dxfId="0" priority="38" stopIfTrue="1">
      <formula>NOT(ISERROR(SEARCH("新安；江南",C5)))</formula>
    </cfRule>
    <cfRule type="duplicateValues" dxfId="1" priority="36"/>
  </conditionalFormatting>
  <conditionalFormatting sqref="G5">
    <cfRule type="expression" dxfId="0" priority="44" stopIfTrue="1">
      <formula>NOT(ISERROR(SEARCH("新安，江南",G5)))</formula>
    </cfRule>
    <cfRule type="expression" dxfId="0" priority="42" stopIfTrue="1">
      <formula>NOT(ISERROR(SEARCH("新安；江南",G5)))</formula>
    </cfRule>
  </conditionalFormatting>
  <conditionalFormatting sqref="C6">
    <cfRule type="expression" dxfId="0" priority="41" stopIfTrue="1">
      <formula>NOT(ISERROR(SEARCH("新安，江南",C6)))</formula>
    </cfRule>
    <cfRule type="expression" dxfId="0" priority="39" stopIfTrue="1">
      <formula>NOT(ISERROR(SEARCH("新安；江南",C6)))</formula>
    </cfRule>
    <cfRule type="duplicateValues" dxfId="1" priority="37"/>
  </conditionalFormatting>
  <conditionalFormatting sqref="G6">
    <cfRule type="expression" dxfId="0" priority="45" stopIfTrue="1">
      <formula>NOT(ISERROR(SEARCH("新安，江南",G6)))</formula>
    </cfRule>
    <cfRule type="expression" dxfId="0" priority="43" stopIfTrue="1">
      <formula>NOT(ISERROR(SEARCH("新安；江南",G6)))</formula>
    </cfRule>
  </conditionalFormatting>
  <conditionalFormatting sqref="C7">
    <cfRule type="expression" dxfId="0" priority="19" stopIfTrue="1">
      <formula>NOT(ISERROR(SEARCH("新安，江南",C7)))</formula>
    </cfRule>
    <cfRule type="expression" dxfId="0" priority="18" stopIfTrue="1">
      <formula>NOT(ISERROR(SEARCH("新安；江南",C7)))</formula>
    </cfRule>
    <cfRule type="duplicateValues" dxfId="1" priority="17"/>
    <cfRule type="duplicateValues" dxfId="1" priority="16"/>
    <cfRule type="duplicateValues" dxfId="1" priority="15"/>
  </conditionalFormatting>
  <conditionalFormatting sqref="G7">
    <cfRule type="expression" dxfId="0" priority="21" stopIfTrue="1">
      <formula>NOT(ISERROR(SEARCH("新安，江南",G7)))</formula>
    </cfRule>
    <cfRule type="expression" dxfId="0" priority="20" stopIfTrue="1">
      <formula>NOT(ISERROR(SEARCH("新安；江南",G7)))</formula>
    </cfRule>
  </conditionalFormatting>
  <conditionalFormatting sqref="C8">
    <cfRule type="expression" dxfId="0" priority="12" stopIfTrue="1">
      <formula>NOT(ISERROR(SEARCH("新安，江南",C8)))</formula>
    </cfRule>
    <cfRule type="expression" dxfId="0" priority="11" stopIfTrue="1">
      <formula>NOT(ISERROR(SEARCH("新安；江南",C8)))</formula>
    </cfRule>
    <cfRule type="duplicateValues" dxfId="1" priority="10"/>
    <cfRule type="duplicateValues" dxfId="1" priority="9"/>
    <cfRule type="duplicateValues" dxfId="1" priority="8"/>
  </conditionalFormatting>
  <conditionalFormatting sqref="G8">
    <cfRule type="expression" dxfId="0" priority="14" stopIfTrue="1">
      <formula>NOT(ISERROR(SEARCH("新安，江南",G8)))</formula>
    </cfRule>
    <cfRule type="expression" dxfId="0" priority="13" stopIfTrue="1">
      <formula>NOT(ISERROR(SEARCH("新安；江南",G8)))</formula>
    </cfRule>
  </conditionalFormatting>
  <conditionalFormatting sqref="C9">
    <cfRule type="expression" dxfId="0" priority="5" stopIfTrue="1">
      <formula>NOT(ISERROR(SEARCH("新安，江南",C9)))</formula>
    </cfRule>
    <cfRule type="expression" dxfId="0" priority="4" stopIfTrue="1">
      <formula>NOT(ISERROR(SEARCH("新安；江南",C9)))</formula>
    </cfRule>
    <cfRule type="duplicateValues" dxfId="1" priority="3"/>
    <cfRule type="duplicateValues" dxfId="1" priority="2"/>
    <cfRule type="duplicateValues" dxfId="1" priority="1"/>
  </conditionalFormatting>
  <conditionalFormatting sqref="G9">
    <cfRule type="expression" dxfId="0" priority="7" stopIfTrue="1">
      <formula>NOT(ISERROR(SEARCH("新安，江南",G9)))</formula>
    </cfRule>
    <cfRule type="expression" dxfId="0" priority="6" stopIfTrue="1">
      <formula>NOT(ISERROR(SEARCH("新安；江南",G9)))</formula>
    </cfRule>
  </conditionalFormatting>
  <conditionalFormatting sqref="G10">
    <cfRule type="expression" dxfId="0" priority="49" stopIfTrue="1">
      <formula>NOT(ISERROR(SEARCH("新安，江南",G10)))</formula>
    </cfRule>
    <cfRule type="expression" dxfId="0" priority="48" stopIfTrue="1">
      <formula>NOT(ISERROR(SEARCH("新安；江南",G10)))</formula>
    </cfRule>
  </conditionalFormatting>
  <conditionalFormatting sqref="C3:C4">
    <cfRule type="duplicateValues" dxfId="1" priority="23"/>
    <cfRule type="duplicateValues" dxfId="1" priority="22"/>
  </conditionalFormatting>
  <conditionalFormatting sqref="C2 C11:D11">
    <cfRule type="duplicateValues" dxfId="1" priority="47"/>
  </conditionalFormatting>
  <conditionalFormatting sqref="C2 C10:D11">
    <cfRule type="duplicateValues" dxfId="1" priority="46"/>
  </conditionalFormatting>
  <conditionalFormatting sqref="C2 C5:C6 C10:D11">
    <cfRule type="duplicateValues" dxfId="1" priority="35"/>
    <cfRule type="duplicateValues" dxfId="1" priority="34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7:L13"/>
  <sheetViews>
    <sheetView workbookViewId="0">
      <selection activeCell="I22" sqref="I22"/>
    </sheetView>
  </sheetViews>
  <sheetFormatPr defaultColWidth="9.02884615384615" defaultRowHeight="16.8"/>
  <cols>
    <col min="5" max="5" width="57.9615384615385" customWidth="1"/>
  </cols>
  <sheetData>
    <row r="7" spans="4:12">
      <c r="E7" t="s">
        <v>34</v>
      </c>
    </row>
    <row r="8" spans="4:12">
      <c r="E8" t="s">
        <v>35</v>
      </c>
    </row>
    <row r="9" spans="4:12">
      <c r="E9" t="s">
        <v>36</v>
      </c>
    </row>
    <row r="13" ht="88" spans="4:12">
      <c r="D13" s="29" t="s">
        <v>37</v>
      </c>
      <c r="E13" s="30" t="s">
        <v>38</v>
      </c>
      <c r="F13" s="30" t="s">
        <v>39</v>
      </c>
      <c r="G13" s="30" t="s">
        <v>40</v>
      </c>
      <c r="H13" s="30" t="s">
        <v>41</v>
      </c>
      <c r="I13" s="30" t="s">
        <v>42</v>
      </c>
      <c r="J13" s="30" t="s">
        <v>43</v>
      </c>
      <c r="K13" s="30" t="s">
        <v>44</v>
      </c>
      <c r="L13" s="30" t="s">
        <v>45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tabSelected="1" workbookViewId="0">
      <selection activeCell="A1" sqref="$A1:$XFD1048576"/>
    </sheetView>
  </sheetViews>
  <sheetFormatPr defaultColWidth="9.23076923076923" defaultRowHeight="16.8"/>
  <cols>
    <col min="3" max="3" width="13.1442307692308" customWidth="1"/>
    <col min="4" max="4" width="7.04807692307692" customWidth="1"/>
    <col min="7" max="7" width="13.2307692307692" customWidth="1"/>
    <col min="8" max="8" width="22.6153846153846" customWidth="1"/>
    <col min="9" max="9" width="24.6730769230769" customWidth="1"/>
  </cols>
  <sheetData>
    <row r="1" ht="28.8" spans="1:12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4"/>
      <c r="L1" s="4"/>
    </row>
    <row r="2" ht="34" spans="1:12">
      <c r="A2" s="5" t="s">
        <v>1</v>
      </c>
      <c r="B2" s="5" t="s">
        <v>2</v>
      </c>
      <c r="C2" s="6" t="s">
        <v>3</v>
      </c>
      <c r="D2" s="7" t="s">
        <v>4</v>
      </c>
      <c r="E2" s="6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5" t="s">
        <v>10</v>
      </c>
      <c r="K2" s="9" t="s">
        <v>11</v>
      </c>
      <c r="L2" s="9" t="s">
        <v>12</v>
      </c>
    </row>
    <row r="3" ht="21" spans="1:12">
      <c r="A3" s="10">
        <v>1</v>
      </c>
      <c r="B3" s="10" t="s">
        <v>13</v>
      </c>
      <c r="C3" s="11" t="s">
        <v>14</v>
      </c>
      <c r="D3" s="12" t="s">
        <v>15</v>
      </c>
      <c r="E3" s="13" t="s">
        <v>16</v>
      </c>
      <c r="F3" s="14">
        <v>60</v>
      </c>
      <c r="G3" s="15">
        <v>60</v>
      </c>
      <c r="H3" s="16">
        <v>261630</v>
      </c>
      <c r="I3" s="16">
        <v>261630</v>
      </c>
      <c r="J3" s="17"/>
      <c r="K3" s="9"/>
      <c r="L3" s="9"/>
    </row>
    <row r="4" ht="21" spans="1:12">
      <c r="A4" s="10">
        <v>2</v>
      </c>
      <c r="B4" s="10" t="s">
        <v>13</v>
      </c>
      <c r="C4" s="11" t="s">
        <v>17</v>
      </c>
      <c r="D4" s="12" t="s">
        <v>15</v>
      </c>
      <c r="E4" s="13" t="s">
        <v>18</v>
      </c>
      <c r="F4" s="14">
        <v>180</v>
      </c>
      <c r="G4" s="15">
        <v>180</v>
      </c>
      <c r="H4" s="16">
        <v>2878852.29</v>
      </c>
      <c r="I4" s="16">
        <v>550000</v>
      </c>
      <c r="J4" s="18"/>
      <c r="K4" s="9"/>
      <c r="L4" s="9"/>
    </row>
    <row r="5" ht="21" spans="1:12">
      <c r="A5" s="10">
        <v>3</v>
      </c>
      <c r="B5" s="10" t="s">
        <v>19</v>
      </c>
      <c r="C5" s="11" t="s">
        <v>14</v>
      </c>
      <c r="D5" s="12" t="s">
        <v>15</v>
      </c>
      <c r="E5" s="13" t="s">
        <v>16</v>
      </c>
      <c r="F5" s="14">
        <v>60</v>
      </c>
      <c r="G5" s="15">
        <v>60</v>
      </c>
      <c r="H5" s="16">
        <v>261630</v>
      </c>
      <c r="I5" s="16">
        <v>261630</v>
      </c>
      <c r="J5" s="19" t="s">
        <v>20</v>
      </c>
      <c r="K5" s="9" t="s">
        <v>21</v>
      </c>
      <c r="L5" s="9" t="s">
        <v>22</v>
      </c>
    </row>
    <row r="6" ht="88" spans="1:12">
      <c r="A6" s="10">
        <v>4</v>
      </c>
      <c r="B6" s="10" t="s">
        <v>19</v>
      </c>
      <c r="C6" s="11" t="s">
        <v>23</v>
      </c>
      <c r="D6" s="12" t="s">
        <v>24</v>
      </c>
      <c r="E6" s="13" t="s">
        <v>18</v>
      </c>
      <c r="F6" s="14">
        <v>180</v>
      </c>
      <c r="G6" s="15">
        <v>180</v>
      </c>
      <c r="H6" s="16">
        <v>2878852.29</v>
      </c>
      <c r="I6" s="16">
        <v>550000</v>
      </c>
      <c r="J6" s="19" t="s">
        <v>25</v>
      </c>
      <c r="K6" s="9" t="s">
        <v>26</v>
      </c>
      <c r="L6" s="9" t="s">
        <v>27</v>
      </c>
    </row>
    <row r="7" ht="21" spans="1:12">
      <c r="A7" s="10">
        <v>5</v>
      </c>
      <c r="B7" s="10" t="s">
        <v>28</v>
      </c>
      <c r="C7" s="11" t="s">
        <v>29</v>
      </c>
      <c r="D7" s="12" t="s">
        <v>15</v>
      </c>
      <c r="E7" s="13" t="s">
        <v>18</v>
      </c>
      <c r="F7" s="14">
        <v>180</v>
      </c>
      <c r="G7" s="15">
        <v>180</v>
      </c>
      <c r="H7" s="16">
        <v>2878852.29</v>
      </c>
      <c r="I7" s="16">
        <v>550000</v>
      </c>
      <c r="J7" s="20"/>
      <c r="K7" s="9"/>
      <c r="L7" s="9"/>
    </row>
    <row r="8" ht="21" spans="1:12">
      <c r="A8" s="10">
        <v>6</v>
      </c>
      <c r="B8" s="10" t="s">
        <v>28</v>
      </c>
      <c r="C8" s="11" t="s">
        <v>17</v>
      </c>
      <c r="D8" s="12" t="s">
        <v>15</v>
      </c>
      <c r="E8" s="13" t="s">
        <v>18</v>
      </c>
      <c r="F8" s="14">
        <v>180</v>
      </c>
      <c r="G8" s="15">
        <v>180</v>
      </c>
      <c r="H8" s="16">
        <v>2878852.29</v>
      </c>
      <c r="I8" s="16">
        <v>550000</v>
      </c>
      <c r="J8" s="20"/>
      <c r="K8" s="9"/>
      <c r="L8" s="9"/>
    </row>
    <row r="9" ht="21" spans="1:12">
      <c r="A9" s="10">
        <v>7</v>
      </c>
      <c r="B9" s="10" t="s">
        <v>28</v>
      </c>
      <c r="C9" s="11" t="s">
        <v>30</v>
      </c>
      <c r="D9" s="12" t="s">
        <v>24</v>
      </c>
      <c r="E9" s="13" t="s">
        <v>18</v>
      </c>
      <c r="F9" s="14">
        <v>180</v>
      </c>
      <c r="G9" s="15">
        <v>180</v>
      </c>
      <c r="H9" s="16">
        <v>2878852.29</v>
      </c>
      <c r="I9" s="16">
        <v>550000</v>
      </c>
      <c r="J9" s="20"/>
      <c r="K9" s="9"/>
      <c r="L9" s="9"/>
    </row>
    <row r="10" ht="20.4" spans="1:12">
      <c r="A10" s="10"/>
      <c r="B10" s="10"/>
      <c r="C10" s="21"/>
      <c r="D10" s="21"/>
      <c r="E10" s="22"/>
      <c r="F10" s="22"/>
      <c r="G10" s="23"/>
      <c r="H10" s="24">
        <f>SUM(H5:H9)</f>
        <v>11777039.16</v>
      </c>
      <c r="I10" s="24">
        <f>SUM(I5:I9)</f>
        <v>2461630</v>
      </c>
      <c r="J10" s="19"/>
      <c r="K10" s="9"/>
      <c r="L10" s="9"/>
    </row>
    <row r="11" ht="20.4" spans="1:12">
      <c r="A11" s="25"/>
      <c r="B11" s="25"/>
      <c r="C11" s="26"/>
      <c r="D11" s="26"/>
      <c r="E11" s="26"/>
      <c r="F11" s="26"/>
      <c r="G11" s="26"/>
      <c r="H11" s="26"/>
      <c r="I11" s="26"/>
      <c r="J11" s="27"/>
      <c r="K11" s="28"/>
      <c r="L11" s="28"/>
    </row>
    <row r="12" customFormat="1"/>
    <row r="13" customFormat="1" spans="1:12">
      <c r="B13" t="s">
        <v>31</v>
      </c>
      <c r="G13" t="s">
        <v>32</v>
      </c>
      <c r="I13" t="s">
        <v>33</v>
      </c>
    </row>
  </sheetData>
  <mergeCells count="2">
    <mergeCell ref="A1:J1"/>
    <mergeCell ref="C11:J11"/>
  </mergeCells>
  <conditionalFormatting sqref="C3">
    <cfRule type="expression" dxfId="0" priority="28" stopIfTrue="1">
      <formula>NOT(ISERROR(SEARCH("新安，江南",C3)))</formula>
    </cfRule>
    <cfRule type="expression" dxfId="0" priority="26" stopIfTrue="1">
      <formula>NOT(ISERROR(SEARCH("新安；江南",C3)))</formula>
    </cfRule>
    <cfRule type="duplicateValues" dxfId="1" priority="24"/>
  </conditionalFormatting>
  <conditionalFormatting sqref="G3">
    <cfRule type="expression" dxfId="0" priority="32" stopIfTrue="1">
      <formula>NOT(ISERROR(SEARCH("新安，江南",G3)))</formula>
    </cfRule>
    <cfRule type="expression" dxfId="0" priority="30" stopIfTrue="1">
      <formula>NOT(ISERROR(SEARCH("新安；江南",G3)))</formula>
    </cfRule>
  </conditionalFormatting>
  <conditionalFormatting sqref="C4">
    <cfRule type="expression" dxfId="0" priority="29" stopIfTrue="1">
      <formula>NOT(ISERROR(SEARCH("新安，江南",C4)))</formula>
    </cfRule>
    <cfRule type="expression" dxfId="0" priority="27" stopIfTrue="1">
      <formula>NOT(ISERROR(SEARCH("新安；江南",C4)))</formula>
    </cfRule>
    <cfRule type="duplicateValues" dxfId="1" priority="25"/>
  </conditionalFormatting>
  <conditionalFormatting sqref="G4">
    <cfRule type="expression" dxfId="0" priority="33" stopIfTrue="1">
      <formula>NOT(ISERROR(SEARCH("新安，江南",G4)))</formula>
    </cfRule>
    <cfRule type="expression" dxfId="0" priority="31" stopIfTrue="1">
      <formula>NOT(ISERROR(SEARCH("新安；江南",G4)))</formula>
    </cfRule>
  </conditionalFormatting>
  <conditionalFormatting sqref="C5">
    <cfRule type="expression" dxfId="0" priority="40" stopIfTrue="1">
      <formula>NOT(ISERROR(SEARCH("新安，江南",C5)))</formula>
    </cfRule>
    <cfRule type="expression" dxfId="0" priority="38" stopIfTrue="1">
      <formula>NOT(ISERROR(SEARCH("新安；江南",C5)))</formula>
    </cfRule>
    <cfRule type="duplicateValues" dxfId="1" priority="36"/>
  </conditionalFormatting>
  <conditionalFormatting sqref="G5">
    <cfRule type="expression" dxfId="0" priority="44" stopIfTrue="1">
      <formula>NOT(ISERROR(SEARCH("新安，江南",G5)))</formula>
    </cfRule>
    <cfRule type="expression" dxfId="0" priority="42" stopIfTrue="1">
      <formula>NOT(ISERROR(SEARCH("新安；江南",G5)))</formula>
    </cfRule>
  </conditionalFormatting>
  <conditionalFormatting sqref="C6">
    <cfRule type="expression" dxfId="0" priority="41" stopIfTrue="1">
      <formula>NOT(ISERROR(SEARCH("新安，江南",C6)))</formula>
    </cfRule>
    <cfRule type="expression" dxfId="0" priority="39" stopIfTrue="1">
      <formula>NOT(ISERROR(SEARCH("新安；江南",C6)))</formula>
    </cfRule>
    <cfRule type="duplicateValues" dxfId="1" priority="37"/>
  </conditionalFormatting>
  <conditionalFormatting sqref="G6">
    <cfRule type="expression" dxfId="0" priority="45" stopIfTrue="1">
      <formula>NOT(ISERROR(SEARCH("新安，江南",G6)))</formula>
    </cfRule>
    <cfRule type="expression" dxfId="0" priority="43" stopIfTrue="1">
      <formula>NOT(ISERROR(SEARCH("新安；江南",G6)))</formula>
    </cfRule>
  </conditionalFormatting>
  <conditionalFormatting sqref="C7">
    <cfRule type="expression" dxfId="0" priority="19" stopIfTrue="1">
      <formula>NOT(ISERROR(SEARCH("新安，江南",C7)))</formula>
    </cfRule>
    <cfRule type="expression" dxfId="0" priority="18" stopIfTrue="1">
      <formula>NOT(ISERROR(SEARCH("新安；江南",C7)))</formula>
    </cfRule>
    <cfRule type="duplicateValues" dxfId="1" priority="17"/>
    <cfRule type="duplicateValues" dxfId="1" priority="16"/>
    <cfRule type="duplicateValues" dxfId="1" priority="15"/>
  </conditionalFormatting>
  <conditionalFormatting sqref="G7">
    <cfRule type="expression" dxfId="0" priority="21" stopIfTrue="1">
      <formula>NOT(ISERROR(SEARCH("新安，江南",G7)))</formula>
    </cfRule>
    <cfRule type="expression" dxfId="0" priority="20" stopIfTrue="1">
      <formula>NOT(ISERROR(SEARCH("新安；江南",G7)))</formula>
    </cfRule>
  </conditionalFormatting>
  <conditionalFormatting sqref="C8">
    <cfRule type="expression" dxfId="0" priority="12" stopIfTrue="1">
      <formula>NOT(ISERROR(SEARCH("新安，江南",C8)))</formula>
    </cfRule>
    <cfRule type="expression" dxfId="0" priority="11" stopIfTrue="1">
      <formula>NOT(ISERROR(SEARCH("新安；江南",C8)))</formula>
    </cfRule>
    <cfRule type="duplicateValues" dxfId="1" priority="10"/>
    <cfRule type="duplicateValues" dxfId="1" priority="9"/>
    <cfRule type="duplicateValues" dxfId="1" priority="8"/>
  </conditionalFormatting>
  <conditionalFormatting sqref="G8">
    <cfRule type="expression" dxfId="0" priority="14" stopIfTrue="1">
      <formula>NOT(ISERROR(SEARCH("新安，江南",G8)))</formula>
    </cfRule>
    <cfRule type="expression" dxfId="0" priority="13" stopIfTrue="1">
      <formula>NOT(ISERROR(SEARCH("新安；江南",G8)))</formula>
    </cfRule>
  </conditionalFormatting>
  <conditionalFormatting sqref="C9">
    <cfRule type="expression" dxfId="0" priority="5" stopIfTrue="1">
      <formula>NOT(ISERROR(SEARCH("新安，江南",C9)))</formula>
    </cfRule>
    <cfRule type="expression" dxfId="0" priority="4" stopIfTrue="1">
      <formula>NOT(ISERROR(SEARCH("新安；江南",C9)))</formula>
    </cfRule>
    <cfRule type="duplicateValues" dxfId="1" priority="3"/>
    <cfRule type="duplicateValues" dxfId="1" priority="2"/>
    <cfRule type="duplicateValues" dxfId="1" priority="1"/>
  </conditionalFormatting>
  <conditionalFormatting sqref="G9">
    <cfRule type="expression" dxfId="0" priority="7" stopIfTrue="1">
      <formula>NOT(ISERROR(SEARCH("新安，江南",G9)))</formula>
    </cfRule>
    <cfRule type="expression" dxfId="0" priority="6" stopIfTrue="1">
      <formula>NOT(ISERROR(SEARCH("新安；江南",G9)))</formula>
    </cfRule>
  </conditionalFormatting>
  <conditionalFormatting sqref="G10">
    <cfRule type="expression" dxfId="0" priority="49" stopIfTrue="1">
      <formula>NOT(ISERROR(SEARCH("新安，江南",G10)))</formula>
    </cfRule>
    <cfRule type="expression" dxfId="0" priority="48" stopIfTrue="1">
      <formula>NOT(ISERROR(SEARCH("新安；江南",G10)))</formula>
    </cfRule>
  </conditionalFormatting>
  <conditionalFormatting sqref="C3:C4">
    <cfRule type="duplicateValues" dxfId="1" priority="23"/>
    <cfRule type="duplicateValues" dxfId="1" priority="22"/>
  </conditionalFormatting>
  <conditionalFormatting sqref="C2 C11:D11">
    <cfRule type="duplicateValues" dxfId="1" priority="47"/>
  </conditionalFormatting>
  <conditionalFormatting sqref="C2 C10:D11">
    <cfRule type="duplicateValues" dxfId="1" priority="46"/>
  </conditionalFormatting>
  <conditionalFormatting sqref="C2 C5:C6 C10:D11">
    <cfRule type="duplicateValues" dxfId="1" priority="35"/>
    <cfRule type="duplicateValues" dxfId="1" priority="34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中国银行排款明细</vt:lpstr>
      <vt:lpstr>平安银行排款明细</vt:lpstr>
      <vt:lpstr>浦发银行排款明细</vt:lpstr>
      <vt:lpstr>易信排款明细</vt:lpstr>
      <vt:lpstr>Sheet1</vt:lpstr>
      <vt:lpstr>资金计划排款明细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Suyingjuan</dc:creator>
  <cp:lastModifiedBy>whuwdj</cp:lastModifiedBy>
  <dcterms:created xsi:type="dcterms:W3CDTF">2023-05-12T19:15:00Z</dcterms:created>
  <dcterms:modified xsi:type="dcterms:W3CDTF">2026-04-28T16:06:08Z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2052-12.1.25869.25869</vt:lpwstr>
  </property>
  <property fmtid="{D5CDD505-2E9C-101B-9397-08002B2CF9AE}" pid="3" name="ICV">
    <vt:lpwstr>00522E3D0B9C43F79E0B03A787610005_13</vt:lpwstr>
  </property>
  <property fmtid="{D5CDD505-2E9C-101B-9397-08002B2CF9AE}" pid="4" name="CalculationRule">
    <vt:i4>0</vt:i4>
  </property>
</Properties>
</file>