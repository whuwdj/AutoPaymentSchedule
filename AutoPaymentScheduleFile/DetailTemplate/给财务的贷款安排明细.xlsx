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3880" tabRatio="600" firstSheet="0" activeTab="5" autoFilterDateGrouping="1"/>
  </bookViews>
  <sheets>
    <sheet name="中国银行排款明细" sheetId="1" state="visible" r:id="rId1"/>
    <sheet name="平安银行排款明细" sheetId="2" state="visible" r:id="rId2"/>
    <sheet name="浦发银行排款明细" sheetId="3" state="visible" r:id="rId3"/>
    <sheet name="易信排款明细" sheetId="4" state="visible" r:id="rId4"/>
    <sheet name="Sheet1" sheetId="5" state="hidden" r:id="rId5"/>
    <sheet name="资金计划排款明细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_-;\-* #,##0.00_-;_-* &quot;-&quot;??_-;_-@_-"/>
    <numFmt numFmtId="165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等线"/>
      <charset val="134"/>
      <b val="1"/>
      <sz val="20"/>
    </font>
    <font>
      <name val="等线"/>
      <charset val="134"/>
      <b val="1"/>
      <sz val="11"/>
    </font>
    <font>
      <name val="等线"/>
      <charset val="134"/>
      <b val="1"/>
      <color theme="1"/>
      <sz val="11"/>
    </font>
    <font>
      <name val="微软雅黑"/>
      <charset val="134"/>
      <b val="1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6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7" applyAlignment="1">
      <alignment vertical="center"/>
    </xf>
    <xf numFmtId="0" fontId="11" fillId="0" borderId="7" applyAlignment="1">
      <alignment vertical="center"/>
    </xf>
    <xf numFmtId="0" fontId="12" fillId="0" borderId="8" applyAlignment="1">
      <alignment vertical="center"/>
    </xf>
    <xf numFmtId="0" fontId="12" fillId="0" borderId="0" applyAlignment="1">
      <alignment vertical="center"/>
    </xf>
    <xf numFmtId="0" fontId="13" fillId="4" borderId="9" applyAlignment="1">
      <alignment vertical="center"/>
    </xf>
    <xf numFmtId="0" fontId="14" fillId="5" borderId="10" applyAlignment="1">
      <alignment vertical="center"/>
    </xf>
    <xf numFmtId="0" fontId="15" fillId="5" borderId="9" applyAlignment="1">
      <alignment vertical="center"/>
    </xf>
    <xf numFmtId="0" fontId="16" fillId="6" borderId="11" applyAlignment="1">
      <alignment vertical="center"/>
    </xf>
    <xf numFmtId="0" fontId="17" fillId="0" borderId="12" applyAlignment="1">
      <alignment vertical="center"/>
    </xf>
    <xf numFmtId="0" fontId="18" fillId="0" borderId="13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164" fontId="1" fillId="0" borderId="3" applyAlignment="1" pivotButton="0" quotePrefix="0" xfId="0">
      <alignment horizontal="center" vertical="center"/>
    </xf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  <xf numFmtId="0" fontId="0" fillId="0" borderId="0" pivotButton="0" quotePrefix="0" xfId="0"/>
    <xf numFmtId="164" fontId="1" fillId="0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0" fillId="0" borderId="16" pivotButton="0" quotePrefix="0" xfId="0"/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zoomScale="90" zoomScaleNormal="90" workbookViewId="0">
      <selection activeCell="I4" sqref="I4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广州集泰化工股份有限公司采购应付货款明细表-中国银行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曹星</t>
        </is>
      </c>
      <c r="E3" s="15" t="n"/>
      <c r="F3" s="15" t="n">
        <v>90</v>
      </c>
      <c r="G3" s="15" t="n">
        <v>120</v>
      </c>
      <c r="H3" s="15" t="n">
        <v>50532.98</v>
      </c>
      <c r="I3" s="15" t="n">
        <v>22619.032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曹星</t>
        </is>
      </c>
      <c r="E4" s="15" t="n"/>
      <c r="F4" s="15" t="n">
        <v>30</v>
      </c>
      <c r="G4" s="15" t="n">
        <v>90</v>
      </c>
      <c r="H4" s="15" t="n">
        <v>65400</v>
      </c>
      <c r="I4" s="15" t="n">
        <v>26160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曹星</t>
        </is>
      </c>
      <c r="E5" s="15" t="n"/>
      <c r="F5" s="15" t="n">
        <v>180</v>
      </c>
      <c r="G5" s="15" t="n">
        <v>180</v>
      </c>
      <c r="H5" s="15" t="n">
        <v>2382359.5</v>
      </c>
      <c r="I5" s="15" t="n">
        <v>949383.08</v>
      </c>
      <c r="J5" s="15" t="n"/>
      <c r="K5" s="15" t="n"/>
      <c r="L5" s="15" t="n"/>
    </row>
    <row r="6">
      <c r="B6" s="0" t="inlineStr">
        <is>
          <t>编制</t>
        </is>
      </c>
      <c r="C6" s="0" t="n"/>
      <c r="D6" s="0" t="n"/>
      <c r="E6" s="0" t="n"/>
      <c r="F6" s="0" t="n"/>
      <c r="G6" s="0" t="inlineStr">
        <is>
          <t>采购总经理审核</t>
        </is>
      </c>
      <c r="H6" s="0" t="n"/>
      <c r="I6" s="0" t="inlineStr">
        <is>
          <t>财务总经理审批</t>
        </is>
      </c>
    </row>
  </sheetData>
  <mergeCells count="1">
    <mergeCell ref="A1:L1"/>
  </mergeCells>
  <conditionalFormatting sqref="C2">
    <cfRule type="duplicateValues" priority="47" dxfId="0"/>
  </conditionalFormatting>
  <pageMargins left="0.75" right="0.75" top="0.432638888888889" bottom="0.275" header="0.5" footer="0.5"/>
  <pageSetup orientation="portrait" paperSize="9" scale="3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F18" sqref="F18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广州集泰化工股份有限公司采购应付货款明细表-平安银行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曹星</t>
        </is>
      </c>
      <c r="E3" s="15" t="n"/>
      <c r="F3" s="15" t="n">
        <v>60</v>
      </c>
      <c r="G3" s="15" t="n">
        <v>90</v>
      </c>
      <c r="H3" s="15" t="n">
        <v>228431.26</v>
      </c>
      <c r="I3" s="15" t="n">
        <v>33399.26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曹星</t>
        </is>
      </c>
      <c r="E4" s="15" t="n"/>
      <c r="F4" s="15" t="n">
        <v>30</v>
      </c>
      <c r="G4" s="15" t="n">
        <v>60</v>
      </c>
      <c r="H4" s="15" t="n">
        <v>2327185</v>
      </c>
      <c r="I4" s="15" t="n">
        <v>1570135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曹星</t>
        </is>
      </c>
      <c r="E5" s="15" t="n"/>
      <c r="F5" s="15" t="n">
        <v>30</v>
      </c>
      <c r="G5" s="15" t="n">
        <v>30</v>
      </c>
      <c r="H5" s="15" t="n">
        <v>6708422</v>
      </c>
      <c r="I5" s="15" t="n">
        <v>6708422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曹星</t>
        </is>
      </c>
      <c r="E6" s="15" t="n"/>
      <c r="F6" s="15" t="n">
        <v>30</v>
      </c>
      <c r="G6" s="15" t="n">
        <v>30</v>
      </c>
      <c r="H6" s="15" t="n">
        <v>29197.5</v>
      </c>
      <c r="I6" s="15" t="n">
        <v>29197.5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曹星</t>
        </is>
      </c>
      <c r="E7" s="15" t="n"/>
      <c r="F7" s="15" t="n">
        <v>30</v>
      </c>
      <c r="G7" s="15" t="n">
        <v>60</v>
      </c>
      <c r="H7" s="15" t="n">
        <v>476699.64</v>
      </c>
      <c r="I7" s="15" t="n">
        <v>362099.64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曹星</t>
        </is>
      </c>
      <c r="E8" s="15" t="n"/>
      <c r="F8" s="15" t="n">
        <v>30</v>
      </c>
      <c r="G8" s="15" t="n">
        <v>60</v>
      </c>
      <c r="H8" s="15" t="n">
        <v>307393</v>
      </c>
      <c r="I8" s="15" t="n">
        <v>222033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曹星</t>
        </is>
      </c>
      <c r="E9" s="15" t="n"/>
      <c r="F9" s="15" t="n">
        <v>15</v>
      </c>
      <c r="G9" s="15" t="n">
        <v>15</v>
      </c>
      <c r="H9" s="15" t="n">
        <v>300160</v>
      </c>
      <c r="I9" s="15" t="n">
        <v>300160</v>
      </c>
      <c r="J9" s="15" t="n"/>
      <c r="K9" s="15" t="n"/>
      <c r="L9" s="15" t="n"/>
    </row>
    <row r="10">
      <c r="A10" s="15" t="n">
        <v>8</v>
      </c>
      <c r="B10" s="15" t="inlineStr">
        <is>
          <t>广州集泰化工股份有限公司</t>
        </is>
      </c>
      <c r="C10" s="15" t="n"/>
      <c r="D10" s="15" t="inlineStr">
        <is>
          <t>曹星</t>
        </is>
      </c>
      <c r="E10" s="15" t="n"/>
      <c r="F10" s="15" t="n">
        <v>60</v>
      </c>
      <c r="G10" s="15" t="n">
        <v>90</v>
      </c>
      <c r="H10" s="15" t="n">
        <v>2378040</v>
      </c>
      <c r="I10" s="15" t="n">
        <v>480840</v>
      </c>
      <c r="J10" s="15" t="n"/>
      <c r="K10" s="15" t="n"/>
      <c r="L10" s="15" t="n"/>
    </row>
    <row r="11">
      <c r="A11" s="15" t="n">
        <v>9</v>
      </c>
      <c r="B11" s="15" t="inlineStr">
        <is>
          <t>广州集泰化工股份有限公司</t>
        </is>
      </c>
      <c r="C11" s="15" t="n"/>
      <c r="D11" s="15" t="inlineStr">
        <is>
          <t>曹星</t>
        </is>
      </c>
      <c r="E11" s="15" t="n"/>
      <c r="F11" s="15" t="n">
        <v>90</v>
      </c>
      <c r="G11" s="15" t="n">
        <v>90</v>
      </c>
      <c r="H11" s="15" t="n">
        <v>125113.09</v>
      </c>
      <c r="I11" s="15" t="n">
        <v>84853.09</v>
      </c>
      <c r="J11" s="15" t="n"/>
      <c r="K11" s="15" t="n"/>
      <c r="L11" s="15" t="n"/>
    </row>
    <row r="12">
      <c r="A12" s="15" t="n">
        <v>10</v>
      </c>
      <c r="B12" s="15" t="inlineStr">
        <is>
          <t>广州集泰化工股份有限公司</t>
        </is>
      </c>
      <c r="C12" s="15" t="n"/>
      <c r="D12" s="15" t="inlineStr">
        <is>
          <t>曹星</t>
        </is>
      </c>
      <c r="E12" s="15" t="n"/>
      <c r="F12" s="15" t="n">
        <v>30</v>
      </c>
      <c r="G12" s="15" t="n">
        <v>30</v>
      </c>
      <c r="H12" s="15" t="n">
        <v>251500</v>
      </c>
      <c r="I12" s="15" t="n">
        <v>251500</v>
      </c>
      <c r="J12" s="15" t="n"/>
      <c r="K12" s="15" t="n"/>
      <c r="L12" s="15" t="n"/>
    </row>
    <row r="13">
      <c r="A13" s="15" t="n">
        <v>11</v>
      </c>
      <c r="B13" s="15" t="inlineStr">
        <is>
          <t>广州集泰化工股份有限公司</t>
        </is>
      </c>
      <c r="C13" s="15" t="n"/>
      <c r="D13" s="15" t="inlineStr">
        <is>
          <t>曹星</t>
        </is>
      </c>
      <c r="E13" s="15" t="n"/>
      <c r="F13" s="15" t="n">
        <v>90</v>
      </c>
      <c r="G13" s="15" t="n">
        <v>180</v>
      </c>
      <c r="H13" s="15" t="n">
        <v>3518271.84</v>
      </c>
      <c r="I13" s="15" t="n">
        <v>1005971.84</v>
      </c>
      <c r="J13" s="15" t="n"/>
      <c r="K13" s="15" t="n"/>
      <c r="L13" s="15" t="n"/>
    </row>
    <row r="14">
      <c r="A14" s="15" t="n">
        <v>12</v>
      </c>
      <c r="B14" s="15" t="inlineStr">
        <is>
          <t>广州集泰化工股份有限公司</t>
        </is>
      </c>
      <c r="C14" s="15" t="n"/>
      <c r="D14" s="15" t="inlineStr">
        <is>
          <t>曹星</t>
        </is>
      </c>
      <c r="E14" s="15" t="n"/>
      <c r="F14" s="15" t="n">
        <v>90</v>
      </c>
      <c r="G14" s="15" t="n">
        <v>120</v>
      </c>
      <c r="H14" s="15" t="n">
        <v>293396.19</v>
      </c>
      <c r="I14" s="15" t="n">
        <v>125396.19</v>
      </c>
      <c r="J14" s="15" t="n"/>
      <c r="K14" s="15" t="n"/>
      <c r="L14" s="15" t="n"/>
    </row>
    <row r="15">
      <c r="A15" s="15" t="n">
        <v>13</v>
      </c>
      <c r="B15" s="15" t="inlineStr">
        <is>
          <t>广州集泰化工股份有限公司</t>
        </is>
      </c>
      <c r="C15" s="15" t="n"/>
      <c r="D15" s="15" t="inlineStr">
        <is>
          <t>曹星</t>
        </is>
      </c>
      <c r="E15" s="15" t="n"/>
      <c r="F15" s="15" t="n">
        <v>30</v>
      </c>
      <c r="G15" s="15" t="n">
        <v>60</v>
      </c>
      <c r="H15" s="15" t="n">
        <v>1160148.96</v>
      </c>
      <c r="I15" s="15" t="n">
        <v>729148.96</v>
      </c>
      <c r="J15" s="15" t="n"/>
      <c r="K15" s="15" t="n"/>
      <c r="L15" s="15" t="n"/>
    </row>
    <row r="16">
      <c r="A16" s="15" t="n">
        <v>14</v>
      </c>
      <c r="B16" s="15" t="inlineStr">
        <is>
          <t>广州集泰化工股份有限公司</t>
        </is>
      </c>
      <c r="C16" s="15" t="n"/>
      <c r="D16" s="15" t="inlineStr">
        <is>
          <t>曹星</t>
        </is>
      </c>
      <c r="E16" s="15" t="n"/>
      <c r="F16" s="15" t="n">
        <v>30</v>
      </c>
      <c r="G16" s="15" t="n">
        <v>30</v>
      </c>
      <c r="H16" s="15" t="n">
        <v>517877.79</v>
      </c>
      <c r="I16" s="15" t="n">
        <v>517877.79</v>
      </c>
      <c r="J16" s="15" t="n"/>
      <c r="K16" s="15" t="n"/>
      <c r="L16" s="15" t="n"/>
    </row>
    <row r="17">
      <c r="A17" s="15" t="n">
        <v>15</v>
      </c>
      <c r="B17" s="15" t="inlineStr">
        <is>
          <t>广州集泰化工股份有限公司</t>
        </is>
      </c>
      <c r="C17" s="15" t="n"/>
      <c r="D17" s="15" t="inlineStr">
        <is>
          <t>曹星</t>
        </is>
      </c>
      <c r="E17" s="15" t="n"/>
      <c r="F17" s="15" t="n">
        <v>90</v>
      </c>
      <c r="G17" s="15" t="n">
        <v>90</v>
      </c>
      <c r="H17" s="15" t="n">
        <v>67416</v>
      </c>
      <c r="I17" s="15" t="n">
        <v>13411.2</v>
      </c>
      <c r="J17" s="15" t="n"/>
      <c r="K17" s="15" t="n"/>
      <c r="L17" s="15" t="n"/>
    </row>
    <row r="18">
      <c r="A18" s="15" t="n">
        <v>16</v>
      </c>
      <c r="B18" s="15" t="inlineStr">
        <is>
          <t>广州集泰化工股份有限公司</t>
        </is>
      </c>
      <c r="C18" s="15" t="n"/>
      <c r="D18" s="15" t="inlineStr">
        <is>
          <t>曹星</t>
        </is>
      </c>
      <c r="E18" s="15" t="n"/>
      <c r="F18" s="15" t="n">
        <v>150</v>
      </c>
      <c r="G18" s="15" t="n">
        <v>150</v>
      </c>
      <c r="H18" s="15" t="n">
        <v>511139.19</v>
      </c>
      <c r="I18" s="15" t="n">
        <v>132384.19</v>
      </c>
      <c r="J18" s="15" t="n"/>
      <c r="K18" s="15" t="n"/>
      <c r="L18" s="15" t="n"/>
    </row>
    <row r="19">
      <c r="A19" s="15" t="n">
        <v>17</v>
      </c>
      <c r="B19" s="15" t="inlineStr">
        <is>
          <t>广州集泰化工股份有限公司</t>
        </is>
      </c>
      <c r="C19" s="15" t="n"/>
      <c r="D19" s="15" t="inlineStr">
        <is>
          <t>曹星</t>
        </is>
      </c>
      <c r="E19" s="15" t="n"/>
      <c r="F19" s="15" t="n">
        <v>60</v>
      </c>
      <c r="G19" s="15" t="n">
        <v>60</v>
      </c>
      <c r="H19" s="15" t="n">
        <v>600720</v>
      </c>
      <c r="I19" s="15" t="n">
        <v>293720</v>
      </c>
      <c r="J19" s="15" t="n"/>
      <c r="K19" s="15" t="n"/>
      <c r="L19" s="15" t="n"/>
    </row>
    <row r="20">
      <c r="A20" s="15" t="n">
        <v>18</v>
      </c>
      <c r="B20" s="15" t="inlineStr">
        <is>
          <t>广州集泰化工股份有限公司</t>
        </is>
      </c>
      <c r="C20" s="15" t="n"/>
      <c r="D20" s="15" t="inlineStr">
        <is>
          <t>曹星</t>
        </is>
      </c>
      <c r="E20" s="15" t="n"/>
      <c r="F20" s="15" t="n">
        <v>90</v>
      </c>
      <c r="G20" s="15" t="n">
        <v>180</v>
      </c>
      <c r="H20" s="15" t="n">
        <v>33460</v>
      </c>
      <c r="I20" s="15" t="n">
        <v>24095</v>
      </c>
      <c r="J20" s="15" t="n"/>
      <c r="K20" s="15" t="n"/>
      <c r="L20" s="15" t="n"/>
    </row>
    <row r="21">
      <c r="A21" s="15" t="n">
        <v>19</v>
      </c>
      <c r="B21" s="15" t="inlineStr">
        <is>
          <t>广州集泰化工股份有限公司</t>
        </is>
      </c>
      <c r="C21" s="15" t="n"/>
      <c r="D21" s="15" t="inlineStr">
        <is>
          <t>曹星</t>
        </is>
      </c>
      <c r="E21" s="15" t="n"/>
      <c r="F21" s="15" t="n">
        <v>120</v>
      </c>
      <c r="G21" s="15" t="n">
        <v>120</v>
      </c>
      <c r="H21" s="15" t="n">
        <v>1050</v>
      </c>
      <c r="I21" s="15" t="n">
        <v>504</v>
      </c>
      <c r="J21" s="15" t="n"/>
      <c r="K21" s="15" t="n"/>
      <c r="L21" s="15" t="n"/>
    </row>
    <row r="22">
      <c r="A22" s="15" t="n">
        <v>20</v>
      </c>
      <c r="B22" s="15" t="inlineStr">
        <is>
          <t>广州集泰化工股份有限公司</t>
        </is>
      </c>
      <c r="C22" s="15" t="n"/>
      <c r="D22" s="15" t="inlineStr">
        <is>
          <t>曹星</t>
        </is>
      </c>
      <c r="E22" s="15" t="n"/>
      <c r="F22" s="15" t="n">
        <v>30</v>
      </c>
      <c r="G22" s="15" t="n">
        <v>30</v>
      </c>
      <c r="H22" s="15" t="n">
        <v>2800</v>
      </c>
      <c r="I22" s="15" t="n">
        <v>2240</v>
      </c>
      <c r="J22" s="15" t="n"/>
      <c r="K22" s="15" t="n"/>
      <c r="L22" s="15" t="n"/>
    </row>
    <row r="23">
      <c r="A23" s="15" t="n">
        <v>21</v>
      </c>
      <c r="B23" s="15" t="inlineStr">
        <is>
          <t>广州集泰化工股份有限公司</t>
        </is>
      </c>
      <c r="C23" s="15" t="n"/>
      <c r="D23" s="15" t="inlineStr">
        <is>
          <t>曹星</t>
        </is>
      </c>
      <c r="E23" s="15" t="n"/>
      <c r="F23" s="15" t="n">
        <v>30</v>
      </c>
      <c r="G23" s="15" t="n">
        <v>60</v>
      </c>
      <c r="H23" s="15" t="n">
        <v>75600</v>
      </c>
      <c r="I23" s="15" t="n">
        <v>37440</v>
      </c>
      <c r="J23" s="15" t="n"/>
      <c r="K23" s="15" t="n"/>
      <c r="L23" s="15" t="n"/>
    </row>
    <row r="24">
      <c r="B24" s="0" t="inlineStr">
        <is>
          <t>编制</t>
        </is>
      </c>
      <c r="G24" s="0" t="inlineStr">
        <is>
          <t>采购总经理审核</t>
        </is>
      </c>
      <c r="I2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H23" sqref="H23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广州集泰化工股份有限公司采购应付货款明细表-浦发银行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I12" sqref="I12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广州集泰化工股份有限公司采购应付货款明细表-易信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曹星</t>
        </is>
      </c>
      <c r="E3" s="15" t="n"/>
      <c r="F3" s="15" t="n">
        <v>150</v>
      </c>
      <c r="G3" s="15" t="n">
        <v>180</v>
      </c>
      <c r="H3" s="15" t="n">
        <v>2088276.03</v>
      </c>
      <c r="I3" s="15" t="n">
        <v>296411.03</v>
      </c>
      <c r="J3" s="15" t="n"/>
      <c r="K3" s="15" t="n"/>
      <c r="L3" s="15" t="n"/>
    </row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7:L13"/>
  <sheetViews>
    <sheetView workbookViewId="0">
      <selection activeCell="I22" sqref="I22"/>
    </sheetView>
  </sheetViews>
  <sheetFormatPr baseColWidth="8" defaultColWidth="9.02884615384615" defaultRowHeight="16.8"/>
  <cols>
    <col width="57.9615384615385" customWidth="1" style="9" min="5" max="5"/>
  </cols>
  <sheetData>
    <row r="7">
      <c r="E7" s="0" t="inlineStr">
        <is>
          <t>付款截止日期</t>
        </is>
      </c>
    </row>
    <row r="8">
      <c r="E8" s="0" t="inlineStr">
        <is>
          <t>付款优先级，且如超账龄较多，则付款计划不超过总欠款的30%，且所有付款计划不超过总余额的50%。</t>
        </is>
      </c>
    </row>
    <row r="9">
      <c r="E9" s="0" t="inlineStr">
        <is>
          <t>贷款信息-放款日期、可支付主体、收款方式（电汇、承兑）</t>
        </is>
      </c>
    </row>
    <row r="13" ht="88" customHeight="1" s="9">
      <c r="D13" s="16" t="inlineStr">
        <is>
          <t>4月付款计划</t>
        </is>
      </c>
      <c r="E13" s="17" t="inlineStr">
        <is>
          <t>第1笔-中行1000万流贷-15号-集泰、电汇和银承的</t>
        </is>
      </c>
      <c r="F13" s="17" t="inlineStr">
        <is>
          <t>第2笔-浦发1500万银承-20号</t>
        </is>
      </c>
      <c r="G13" s="17" t="inlineStr">
        <is>
          <t>第3笔-浦发1500万银承</t>
        </is>
      </c>
      <c r="H13" s="17" t="inlineStr">
        <is>
          <t>第4笔-中行1000万流贷</t>
        </is>
      </c>
      <c r="I13" s="17" t="inlineStr">
        <is>
          <t>第5笔-中行易信522万</t>
        </is>
      </c>
      <c r="J13" s="17" t="inlineStr">
        <is>
          <t>第6笔-商承、融资</t>
        </is>
      </c>
      <c r="K13" s="17" t="inlineStr">
        <is>
          <t>资金计划</t>
        </is>
      </c>
      <c r="L13" s="17" t="inlineStr">
        <is>
          <t>合计已排款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tabSelected="1" workbookViewId="0">
      <selection activeCell="G10" sqref="G10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>广州集泰化工股份有限公司采购应付货款明细表-资金计划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曹星</t>
        </is>
      </c>
      <c r="E3" s="15" t="n"/>
      <c r="F3" s="15" t="n">
        <v>120</v>
      </c>
      <c r="G3" s="15" t="n">
        <v>120</v>
      </c>
      <c r="H3" s="15" t="n">
        <v>532838.6</v>
      </c>
      <c r="I3" s="15" t="n">
        <v>324270.88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曹星</t>
        </is>
      </c>
      <c r="E4" s="15" t="n"/>
      <c r="F4" s="15" t="n">
        <v>180</v>
      </c>
      <c r="G4" s="15" t="n">
        <v>180</v>
      </c>
      <c r="H4" s="15" t="n">
        <v>993438.6</v>
      </c>
      <c r="I4" s="15" t="n">
        <v>359294.88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曹星</t>
        </is>
      </c>
      <c r="E5" s="15" t="n"/>
      <c r="F5" s="15" t="n">
        <v>90</v>
      </c>
      <c r="G5" s="15" t="n">
        <v>90</v>
      </c>
      <c r="H5" s="15" t="n">
        <v>544076.1899999999</v>
      </c>
      <c r="I5" s="15" t="n">
        <v>340460.952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曹星</t>
        </is>
      </c>
      <c r="E6" s="15" t="n"/>
      <c r="F6" s="15" t="n">
        <v>60</v>
      </c>
      <c r="G6" s="15" t="n">
        <v>90</v>
      </c>
      <c r="H6" s="15" t="n">
        <v>215677.11</v>
      </c>
      <c r="I6" s="15" t="n">
        <v>172541.688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曹星</t>
        </is>
      </c>
      <c r="E7" s="15" t="n"/>
      <c r="F7" s="15" t="n">
        <v>30</v>
      </c>
      <c r="G7" s="15" t="n">
        <v>30</v>
      </c>
      <c r="H7" s="15" t="n">
        <v>15250</v>
      </c>
      <c r="I7" s="15" t="n">
        <v>12200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曹星</t>
        </is>
      </c>
      <c r="E8" s="15" t="n"/>
      <c r="F8" s="15" t="n">
        <v>90</v>
      </c>
      <c r="G8" s="15" t="n">
        <v>90</v>
      </c>
      <c r="H8" s="15" t="n">
        <v>257725</v>
      </c>
      <c r="I8" s="15" t="n">
        <v>143880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曹星</t>
        </is>
      </c>
      <c r="E9" s="15" t="n"/>
      <c r="F9" s="15" t="n">
        <v>90</v>
      </c>
      <c r="G9" s="15" t="n">
        <v>120</v>
      </c>
      <c r="H9" s="15" t="n">
        <v>298657.5</v>
      </c>
      <c r="I9" s="15" t="n">
        <v>168330</v>
      </c>
      <c r="J9" s="15" t="n"/>
      <c r="K9" s="15" t="n"/>
      <c r="L9" s="15" t="n"/>
    </row>
    <row r="10">
      <c r="A10" s="15" t="n">
        <v>8</v>
      </c>
      <c r="B10" s="15" t="inlineStr">
        <is>
          <t>广州集泰化工股份有限公司</t>
        </is>
      </c>
      <c r="C10" s="15" t="n"/>
      <c r="D10" s="15" t="inlineStr">
        <is>
          <t>曹星</t>
        </is>
      </c>
      <c r="E10" s="15" t="n"/>
      <c r="F10" s="15" t="n">
        <v>30</v>
      </c>
      <c r="G10" s="15" t="n">
        <v>90</v>
      </c>
      <c r="H10" s="15" t="n">
        <v>66780</v>
      </c>
      <c r="I10" s="15" t="n">
        <v>53424</v>
      </c>
      <c r="J10" s="15" t="n"/>
      <c r="K10" s="15" t="n"/>
      <c r="L10" s="15" t="n"/>
    </row>
    <row r="11">
      <c r="A11" s="15" t="n">
        <v>9</v>
      </c>
      <c r="B11" s="15" t="inlineStr">
        <is>
          <t>广州集泰化工股份有限公司</t>
        </is>
      </c>
      <c r="C11" s="15" t="n"/>
      <c r="D11" s="15" t="inlineStr">
        <is>
          <t>曹星</t>
        </is>
      </c>
      <c r="E11" s="15" t="n"/>
      <c r="F11" s="15" t="n">
        <v>90</v>
      </c>
      <c r="G11" s="15" t="n">
        <v>150</v>
      </c>
      <c r="H11" s="15" t="n">
        <v>718459.67</v>
      </c>
      <c r="I11" s="15" t="n">
        <v>177743.736</v>
      </c>
      <c r="J11" s="15" t="n"/>
      <c r="K11" s="15" t="n"/>
      <c r="L11" s="15" t="n"/>
    </row>
    <row r="12">
      <c r="A12" s="15" t="n">
        <v>10</v>
      </c>
      <c r="B12" s="15" t="inlineStr">
        <is>
          <t>广州集泰化工股份有限公司</t>
        </is>
      </c>
      <c r="C12" s="15" t="n"/>
      <c r="D12" s="15" t="inlineStr">
        <is>
          <t>曹星</t>
        </is>
      </c>
      <c r="E12" s="15" t="n"/>
      <c r="F12" s="15" t="n">
        <v>120</v>
      </c>
      <c r="G12" s="15" t="n">
        <v>120</v>
      </c>
      <c r="H12" s="15" t="n">
        <v>77220</v>
      </c>
      <c r="I12" s="15" t="n">
        <v>61440</v>
      </c>
      <c r="J12" s="15" t="n"/>
      <c r="K12" s="15" t="n"/>
      <c r="L12" s="15" t="n"/>
    </row>
    <row r="13">
      <c r="A13" s="15" t="n">
        <v>11</v>
      </c>
      <c r="B13" s="15" t="inlineStr">
        <is>
          <t>广州集泰化工股份有限公司</t>
        </is>
      </c>
      <c r="C13" s="15" t="n"/>
      <c r="D13" s="15" t="inlineStr">
        <is>
          <t>曹星</t>
        </is>
      </c>
      <c r="E13" s="15" t="n"/>
      <c r="F13" s="15" t="n">
        <v>90</v>
      </c>
      <c r="G13" s="15" t="n">
        <v>150</v>
      </c>
      <c r="H13" s="15" t="n">
        <v>319147.9</v>
      </c>
      <c r="I13" s="15" t="n">
        <v>100106.32</v>
      </c>
      <c r="J13" s="15" t="n"/>
      <c r="K13" s="15" t="n"/>
      <c r="L13" s="15" t="n"/>
    </row>
    <row r="14">
      <c r="A14" s="15" t="n">
        <v>12</v>
      </c>
      <c r="B14" s="15" t="inlineStr">
        <is>
          <t>广州集泰化工股份有限公司</t>
        </is>
      </c>
      <c r="C14" s="15" t="n"/>
      <c r="D14" s="15" t="inlineStr">
        <is>
          <t>曹星</t>
        </is>
      </c>
      <c r="E14" s="15" t="n"/>
      <c r="F14" s="15" t="n">
        <v>180</v>
      </c>
      <c r="G14" s="15" t="n">
        <v>210</v>
      </c>
      <c r="H14" s="15" t="n">
        <v>263578.59</v>
      </c>
      <c r="I14" s="15" t="n">
        <v>94030.87199999999</v>
      </c>
      <c r="J14" s="15" t="n"/>
      <c r="K14" s="15" t="n"/>
      <c r="L14" s="15" t="n"/>
    </row>
    <row r="15">
      <c r="A15" s="15" t="n">
        <v>13</v>
      </c>
      <c r="B15" s="15" t="inlineStr">
        <is>
          <t>广州集泰化工股份有限公司</t>
        </is>
      </c>
      <c r="C15" s="15" t="n"/>
      <c r="D15" s="15" t="inlineStr">
        <is>
          <t>曹星</t>
        </is>
      </c>
      <c r="E15" s="15" t="n"/>
      <c r="F15" s="15" t="n">
        <v>180</v>
      </c>
      <c r="G15" s="15" t="n">
        <v>180</v>
      </c>
      <c r="H15" s="15" t="n">
        <v>55750</v>
      </c>
      <c r="I15" s="15" t="n">
        <v>34520</v>
      </c>
      <c r="J15" s="15" t="n"/>
      <c r="K15" s="15" t="n"/>
      <c r="L15" s="15" t="n"/>
    </row>
    <row r="16">
      <c r="A16" s="15" t="n">
        <v>14</v>
      </c>
      <c r="B16" s="15" t="inlineStr">
        <is>
          <t>广州集泰化工股份有限公司</t>
        </is>
      </c>
      <c r="C16" s="15" t="n"/>
      <c r="D16" s="15" t="inlineStr">
        <is>
          <t>曹星</t>
        </is>
      </c>
      <c r="E16" s="15" t="n"/>
      <c r="F16" s="15" t="n">
        <v>30</v>
      </c>
      <c r="G16" s="15" t="n">
        <v>90</v>
      </c>
      <c r="H16" s="15" t="n">
        <v>49410</v>
      </c>
      <c r="I16" s="15" t="n">
        <v>39528</v>
      </c>
      <c r="J16" s="15" t="n"/>
      <c r="K16" s="15" t="n"/>
      <c r="L16" s="15" t="n"/>
    </row>
    <row r="17">
      <c r="A17" s="15" t="n">
        <v>15</v>
      </c>
      <c r="B17" s="15" t="inlineStr">
        <is>
          <t>广州集泰化工股份有限公司</t>
        </is>
      </c>
      <c r="C17" s="15" t="n"/>
      <c r="D17" s="15" t="inlineStr">
        <is>
          <t>曹星</t>
        </is>
      </c>
      <c r="E17" s="15" t="n"/>
      <c r="F17" s="15" t="n">
        <v>30</v>
      </c>
      <c r="G17" s="15" t="n">
        <v>90</v>
      </c>
      <c r="H17" s="15" t="n">
        <v>89915.53999999999</v>
      </c>
      <c r="I17" s="15" t="n">
        <v>35932.432</v>
      </c>
      <c r="J17" s="15" t="n"/>
      <c r="K17" s="15" t="n"/>
      <c r="L17" s="15" t="n"/>
    </row>
    <row r="18">
      <c r="A18" s="15" t="n">
        <v>16</v>
      </c>
      <c r="B18" s="15" t="inlineStr">
        <is>
          <t>广州集泰化工股份有限公司</t>
        </is>
      </c>
      <c r="C18" s="15" t="n"/>
      <c r="D18" s="15" t="inlineStr">
        <is>
          <t>曹星</t>
        </is>
      </c>
      <c r="E18" s="15" t="n"/>
      <c r="F18" s="15" t="n">
        <v>180</v>
      </c>
      <c r="G18" s="15" t="n">
        <v>210</v>
      </c>
      <c r="H18" s="15" t="n">
        <v>205536.86</v>
      </c>
      <c r="I18" s="15" t="n">
        <v>60125.488</v>
      </c>
      <c r="J18" s="15" t="n"/>
      <c r="K18" s="15" t="n"/>
      <c r="L18" s="15" t="n"/>
    </row>
    <row r="19">
      <c r="A19" s="15" t="n">
        <v>17</v>
      </c>
      <c r="B19" s="15" t="inlineStr">
        <is>
          <t>广州集泰化工股份有限公司</t>
        </is>
      </c>
      <c r="C19" s="15" t="n"/>
      <c r="D19" s="15" t="inlineStr">
        <is>
          <t>曹星</t>
        </is>
      </c>
      <c r="E19" s="15" t="n"/>
      <c r="F19" s="15" t="n">
        <v>30</v>
      </c>
      <c r="G19" s="15" t="n">
        <v>90</v>
      </c>
      <c r="H19" s="15" t="n">
        <v>70500</v>
      </c>
      <c r="I19" s="15" t="n">
        <v>39200</v>
      </c>
      <c r="J19" s="15" t="n"/>
      <c r="K19" s="15" t="n"/>
      <c r="L19" s="15" t="n"/>
    </row>
    <row r="20">
      <c r="A20" s="15" t="n">
        <v>18</v>
      </c>
      <c r="B20" s="15" t="inlineStr">
        <is>
          <t>广州集泰化工股份有限公司</t>
        </is>
      </c>
      <c r="C20" s="15" t="n"/>
      <c r="D20" s="15" t="inlineStr">
        <is>
          <t>曹星</t>
        </is>
      </c>
      <c r="E20" s="15" t="n"/>
      <c r="F20" s="15" t="n">
        <v>30</v>
      </c>
      <c r="G20" s="15" t="n">
        <v>60</v>
      </c>
      <c r="H20" s="15" t="n">
        <v>141500</v>
      </c>
      <c r="I20" s="15" t="n">
        <v>74112</v>
      </c>
      <c r="J20" s="15" t="n"/>
      <c r="K20" s="15" t="n"/>
      <c r="L20" s="15" t="n"/>
    </row>
    <row r="21">
      <c r="A21" s="15" t="n">
        <v>19</v>
      </c>
      <c r="B21" s="15" t="inlineStr">
        <is>
          <t>广州集泰化工股份有限公司</t>
        </is>
      </c>
      <c r="C21" s="15" t="n"/>
      <c r="D21" s="15" t="inlineStr">
        <is>
          <t>曹星</t>
        </is>
      </c>
      <c r="E21" s="15" t="n"/>
      <c r="F21" s="15" t="n">
        <v>180</v>
      </c>
      <c r="G21" s="15" t="n">
        <v>180</v>
      </c>
      <c r="H21" s="15" t="n">
        <v>719648</v>
      </c>
      <c r="I21" s="15" t="n">
        <v>272067.2</v>
      </c>
      <c r="J21" s="15" t="n"/>
      <c r="K21" s="15" t="n"/>
      <c r="L21" s="15" t="n"/>
    </row>
    <row r="22">
      <c r="A22" s="15" t="n">
        <v>20</v>
      </c>
      <c r="B22" s="15" t="inlineStr">
        <is>
          <t>广州集泰化工股份有限公司</t>
        </is>
      </c>
      <c r="C22" s="15" t="n"/>
      <c r="D22" s="15" t="inlineStr">
        <is>
          <t>曹星</t>
        </is>
      </c>
      <c r="E22" s="15" t="n"/>
      <c r="F22" s="15" t="n">
        <v>30</v>
      </c>
      <c r="G22" s="15" t="n">
        <v>90</v>
      </c>
      <c r="H22" s="15" t="n">
        <v>60000</v>
      </c>
      <c r="I22" s="15" t="n">
        <v>24000</v>
      </c>
      <c r="J22" s="15" t="n"/>
      <c r="K22" s="15" t="n"/>
      <c r="L22" s="15" t="n"/>
    </row>
    <row r="23">
      <c r="A23" s="15" t="n">
        <v>21</v>
      </c>
      <c r="B23" s="15" t="inlineStr">
        <is>
          <t>广州集泰化工股份有限公司</t>
        </is>
      </c>
      <c r="C23" s="15" t="n"/>
      <c r="D23" s="15" t="inlineStr">
        <is>
          <t>曹星</t>
        </is>
      </c>
      <c r="E23" s="15" t="n"/>
      <c r="F23" s="15" t="n">
        <v>60</v>
      </c>
      <c r="G23" s="15" t="n">
        <v>90</v>
      </c>
      <c r="H23" s="15" t="n">
        <v>151515</v>
      </c>
      <c r="I23" s="15" t="n">
        <v>77636</v>
      </c>
      <c r="J23" s="15" t="n"/>
      <c r="K23" s="15" t="n"/>
      <c r="L23" s="15" t="n"/>
    </row>
    <row r="24">
      <c r="A24" s="15" t="n">
        <v>22</v>
      </c>
      <c r="B24" s="15" t="inlineStr">
        <is>
          <t>广州集泰化工股份有限公司</t>
        </is>
      </c>
      <c r="C24" s="15" t="n"/>
      <c r="D24" s="15" t="inlineStr">
        <is>
          <t>曹星</t>
        </is>
      </c>
      <c r="E24" s="15" t="n"/>
      <c r="F24" s="15" t="n">
        <v>30</v>
      </c>
      <c r="G24" s="15" t="n">
        <v>90</v>
      </c>
      <c r="H24" s="15" t="n">
        <v>17500</v>
      </c>
      <c r="I24" s="15" t="n">
        <v>7000</v>
      </c>
      <c r="J24" s="15" t="n"/>
      <c r="K24" s="15" t="n"/>
      <c r="L24" s="15" t="n"/>
    </row>
    <row r="25">
      <c r="A25" s="15" t="n">
        <v>23</v>
      </c>
      <c r="B25" s="15" t="inlineStr">
        <is>
          <t>广州集泰化工股份有限公司</t>
        </is>
      </c>
      <c r="C25" s="15" t="n"/>
      <c r="D25" s="15" t="inlineStr">
        <is>
          <t>曹星</t>
        </is>
      </c>
      <c r="E25" s="15" t="n"/>
      <c r="F25" s="15" t="n">
        <v>90</v>
      </c>
      <c r="G25" s="15" t="n">
        <v>150</v>
      </c>
      <c r="H25" s="15" t="n">
        <v>193444.3</v>
      </c>
      <c r="I25" s="15" t="n">
        <v>74811.43999999999</v>
      </c>
      <c r="J25" s="15" t="n"/>
      <c r="K25" s="15" t="n"/>
      <c r="L25" s="15" t="n"/>
    </row>
    <row r="26">
      <c r="A26" s="15" t="n">
        <v>24</v>
      </c>
      <c r="B26" s="15" t="inlineStr">
        <is>
          <t>广州集泰化工股份有限公司</t>
        </is>
      </c>
      <c r="C26" s="15" t="n"/>
      <c r="D26" s="15" t="inlineStr">
        <is>
          <t>曹星</t>
        </is>
      </c>
      <c r="E26" s="15" t="n"/>
      <c r="F26" s="15" t="n">
        <v>30</v>
      </c>
      <c r="G26" s="15" t="n">
        <v>90</v>
      </c>
      <c r="H26" s="15" t="n">
        <v>165800</v>
      </c>
      <c r="I26" s="15" t="n">
        <v>132640</v>
      </c>
      <c r="J26" s="15" t="n"/>
      <c r="K26" s="15" t="n"/>
      <c r="L26" s="15" t="n"/>
    </row>
    <row r="27">
      <c r="A27" s="15" t="n">
        <v>25</v>
      </c>
      <c r="B27" s="15" t="inlineStr">
        <is>
          <t>广州集泰化工股份有限公司</t>
        </is>
      </c>
      <c r="C27" s="15" t="n"/>
      <c r="D27" s="15" t="inlineStr">
        <is>
          <t>曹星</t>
        </is>
      </c>
      <c r="E27" s="15" t="n"/>
      <c r="F27" s="15" t="n">
        <v>30</v>
      </c>
      <c r="G27" s="15" t="n">
        <v>30</v>
      </c>
      <c r="H27" s="15" t="n">
        <v>34475</v>
      </c>
      <c r="I27" s="15" t="n">
        <v>27580</v>
      </c>
      <c r="J27" s="15" t="n"/>
      <c r="K27" s="15" t="n"/>
      <c r="L27" s="15" t="n"/>
    </row>
    <row r="28">
      <c r="A28" s="15" t="n">
        <v>26</v>
      </c>
      <c r="B28" s="15" t="inlineStr">
        <is>
          <t>广州集泰化工股份有限公司</t>
        </is>
      </c>
      <c r="C28" s="15" t="n"/>
      <c r="D28" s="15" t="inlineStr">
        <is>
          <t>曹星</t>
        </is>
      </c>
      <c r="E28" s="15" t="n"/>
      <c r="F28" s="15" t="n">
        <v>90</v>
      </c>
      <c r="G28" s="15" t="n">
        <v>90</v>
      </c>
      <c r="H28" s="15" t="n">
        <v>125770.49</v>
      </c>
      <c r="I28" s="15" t="n">
        <v>83684.39199999999</v>
      </c>
      <c r="J28" s="15" t="n"/>
      <c r="K28" s="15" t="n"/>
      <c r="L28" s="15" t="n"/>
    </row>
    <row r="29">
      <c r="A29" s="15" t="n">
        <v>27</v>
      </c>
      <c r="B29" s="15" t="inlineStr">
        <is>
          <t>广州集泰化工股份有限公司</t>
        </is>
      </c>
      <c r="C29" s="15" t="n"/>
      <c r="D29" s="15" t="inlineStr">
        <is>
          <t>曹星</t>
        </is>
      </c>
      <c r="E29" s="15" t="n"/>
      <c r="F29" s="15" t="n">
        <v>30</v>
      </c>
      <c r="G29" s="15" t="n">
        <v>90</v>
      </c>
      <c r="H29" s="15" t="n">
        <v>11585</v>
      </c>
      <c r="I29" s="15" t="n">
        <v>9268</v>
      </c>
      <c r="J29" s="15" t="n"/>
      <c r="K29" s="15" t="n"/>
      <c r="L29" s="15" t="n"/>
    </row>
    <row r="30">
      <c r="B30" s="0" t="inlineStr">
        <is>
          <t>编制</t>
        </is>
      </c>
      <c r="G30" s="0" t="inlineStr">
        <is>
          <t>采购总经理审核</t>
        </is>
      </c>
      <c r="I30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Suyingjuan</dc:creator>
  <dcterms:created xsi:type="dcterms:W3CDTF">2023-05-14T03:15:00Z</dcterms:created>
  <dcterms:modified xsi:type="dcterms:W3CDTF">2026-05-13T14:12:10Z</dcterms:modified>
  <cp:lastModifiedBy>whuwdj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2052-12.1.25869.25869</vt:lpwstr>
  </property>
  <property name="ICV" fmtid="{D5CDD505-2E9C-101B-9397-08002B2CF9AE}" pid="3">
    <vt:lpwstr>00522E3D0B9C43F79E0B03A787610005_13</vt:lpwstr>
  </property>
  <property name="CalculationRule" fmtid="{D5CDD505-2E9C-101B-9397-08002B2CF9AE}" pid="4">
    <vt:i4>0</vt:i4>
  </property>
</Properties>
</file>