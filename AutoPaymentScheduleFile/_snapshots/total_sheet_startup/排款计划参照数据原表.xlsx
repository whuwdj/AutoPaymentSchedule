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2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Sheet1!$A$2:$BS$56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<sst xmlns="http://schemas.openxmlformats.org/spreadsheetml/2006/main" count="528" uniqueCount="221">
  <si>
    <t>截止20260331已到票应付账龄情况-分主体不分部门</t>
  </si>
  <si>
    <t>备用筛选字段</t>
  </si>
  <si>
    <t>付款计划</t>
  </si>
  <si>
    <t>排款计划</t>
  </si>
  <si>
    <t>应付账龄</t>
  </si>
  <si>
    <t>每月采购额</t>
  </si>
  <si>
    <t>采购部另外需要数据</t>
  </si>
  <si>
    <t>日报表数据</t>
  </si>
  <si>
    <t>补充数据</t>
  </si>
  <si>
    <t>主体</t>
  </si>
  <si>
    <t>客商编码</t>
  </si>
  <si>
    <t>供应商名称</t>
  </si>
  <si>
    <t>付款银行优先级（中国银行、易信、商承）</t>
  </si>
  <si>
    <t>付款优先级（严格按账期-0级，加多1个月-1级，其他-2级且优先处理账龄长的）</t>
  </si>
  <si>
    <t>付款截止日期</t>
  </si>
  <si>
    <t>负责人</t>
  </si>
  <si>
    <t>1-3月采购额</t>
  </si>
  <si>
    <t>类别</t>
  </si>
  <si>
    <t>合同账期</t>
  </si>
  <si>
    <t>协议账期</t>
  </si>
  <si>
    <t>收款方式</t>
  </si>
  <si>
    <t>收款方式备注</t>
  </si>
  <si>
    <t>付款计划确认</t>
  </si>
  <si>
    <t>计划付款方式</t>
  </si>
  <si>
    <t>序号</t>
  </si>
  <si>
    <t>第1笔</t>
  </si>
  <si>
    <t>第2笔</t>
  </si>
  <si>
    <t>第3笔</t>
  </si>
  <si>
    <t>第4笔</t>
  </si>
  <si>
    <t>第5笔</t>
  </si>
  <si>
    <t>第6笔</t>
  </si>
  <si>
    <t>合计已排款</t>
  </si>
  <si>
    <t>当月已开票余额</t>
  </si>
  <si>
    <t>1个月（26.3月）</t>
  </si>
  <si>
    <t>2个月（26.2月）</t>
  </si>
  <si>
    <t>3个月（26.1月）</t>
  </si>
  <si>
    <t>4个月（25.12月）</t>
  </si>
  <si>
    <t>5个月（25.11月）</t>
  </si>
  <si>
    <t>6个月（25.10月）</t>
  </si>
  <si>
    <t>7个月（25.9月）</t>
  </si>
  <si>
    <t>8个月（25.8月）</t>
  </si>
  <si>
    <t>9个月（25.7月）</t>
  </si>
  <si>
    <t>10个月</t>
  </si>
  <si>
    <t>11个月</t>
  </si>
  <si>
    <t>12个月</t>
  </si>
  <si>
    <t>1年以上</t>
  </si>
  <si>
    <t>截止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</si>
  <si>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</si>
  <si>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</si>
  <si>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</si>
  <si>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</si>
  <si>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</si>
  <si>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</si>
  <si>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</si>
  <si>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</si>
  <si>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</si>
  <si>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</si>
  <si>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</si>
  <si>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</si>
  <si>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</si>
  <si>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是否107客商</t>
  </si>
  <si>
    <t>当月已付款</t>
  </si>
  <si>
    <t>当年已付款</t>
  </si>
  <si>
    <t>当月暂估(含税)</t>
  </si>
  <si>
    <t xml:space="preserve">   -1个月内应付款</t>
  </si>
  <si>
    <t xml:space="preserve">   -1-2个月应付款</t>
  </si>
  <si>
    <t xml:space="preserve">   -2-3个月应付款</t>
  </si>
  <si>
    <t xml:space="preserve">   -3-4个月应付款</t>
  </si>
  <si>
    <t xml:space="preserve">   -4-5个月应付款</t>
  </si>
  <si>
    <t xml:space="preserve">   -5-6个月应付款</t>
  </si>
  <si>
    <t xml:space="preserve">   -6个月以上月应付款</t>
  </si>
  <si>
    <t>当年采购额</t>
  </si>
  <si>
    <t>上月采购额</t>
  </si>
  <si>
    <t>总余额</t>
  </si>
  <si>
    <t>银行名称</t>
  </si>
  <si>
    <t>中国银行</t>
  </si>
  <si>
    <t>浦发银行</t>
  </si>
  <si>
    <t>平安银行</t>
  </si>
  <si>
    <t>易信</t>
  </si>
  <si>
    <t>资金计划</t>
  </si>
  <si>
    <t>排款总额</t>
  </si>
  <si>
    <t>排款余额</t>
  </si>
  <si>
    <t>放款日期</t>
  </si>
  <si>
    <t>可支付的主体</t>
  </si>
  <si>
    <t>广州集泰化工股份有限公司</t>
  </si>
  <si>
    <t>广州集泰化工股份有限公司、广州从化兆舜新材料有限公司、安庆诚泰新材料有限公司</t>
  </si>
  <si>
    <t>广州集泰化工股份有限公司、广州从化兆舜新材料有限公司、安庆诚泰新材料有限公司、安徽集泰新材料有限公司</t>
  </si>
  <si>
    <t>付款方式</t>
  </si>
  <si>
    <t>电汇</t>
  </si>
  <si>
    <t>电汇、银承</t>
  </si>
  <si>
    <t>电汇、银承、商承、建信、云信、航信</t>
  </si>
  <si>
    <t>安徽集泰新材料有限公司</t>
  </si>
  <si>
    <t>Z31310505</t>
  </si>
  <si>
    <t>胜奕</t>
  </si>
  <si>
    <t>曹</t>
  </si>
  <si>
    <t>溶剂</t>
  </si>
  <si>
    <t>-</t>
  </si>
  <si>
    <t/>
  </si>
  <si>
    <t>否</t>
  </si>
  <si>
    <t>G130902216</t>
  </si>
  <si>
    <t>欧米亚</t>
  </si>
  <si>
    <t>钙粉</t>
  </si>
  <si>
    <t>安庆诚泰新材料有限公司</t>
  </si>
  <si>
    <t>G120102067</t>
  </si>
  <si>
    <t>瑞祥</t>
  </si>
  <si>
    <t>铁桶</t>
  </si>
  <si>
    <t>G120102075</t>
  </si>
  <si>
    <t>润佳</t>
  </si>
  <si>
    <t>木地板、标签</t>
  </si>
  <si>
    <t>G140901054</t>
  </si>
  <si>
    <t>海诺</t>
  </si>
  <si>
    <t>消泡剂、分散剂</t>
  </si>
  <si>
    <t>银承/电汇</t>
  </si>
  <si>
    <t>G140901035</t>
  </si>
  <si>
    <t>维宁</t>
  </si>
  <si>
    <t>消泡剂、增稠剂</t>
  </si>
  <si>
    <t>商承/银承/电汇</t>
  </si>
  <si>
    <t>商承不能只给6个月以上的</t>
  </si>
  <si>
    <t>G140901039</t>
  </si>
  <si>
    <t>还第四</t>
  </si>
  <si>
    <t>膨润土</t>
  </si>
  <si>
    <t>商承/总付款≤20%</t>
  </si>
  <si>
    <t>广州从化兆舜新材料有限公司</t>
  </si>
  <si>
    <t>G140901197</t>
  </si>
  <si>
    <t>翊昊</t>
  </si>
  <si>
    <t>G140901120</t>
  </si>
  <si>
    <t>保合</t>
  </si>
  <si>
    <t>碳酸钙</t>
  </si>
  <si>
    <t>G140901032</t>
  </si>
  <si>
    <t>衡光</t>
  </si>
  <si>
    <t>乳液</t>
  </si>
  <si>
    <t>商承/银承/电汇/建信</t>
  </si>
  <si>
    <t>G140901210</t>
  </si>
  <si>
    <t>蓝德堡</t>
  </si>
  <si>
    <t>商承/银承/电汇/云信/航信</t>
  </si>
  <si>
    <t>G04001202304102</t>
  </si>
  <si>
    <t>德立</t>
  </si>
  <si>
    <t>G140901073</t>
  </si>
  <si>
    <t>广源</t>
  </si>
  <si>
    <t>G10001202506147</t>
  </si>
  <si>
    <t>红保</t>
  </si>
  <si>
    <t>彭</t>
  </si>
  <si>
    <t>活性炭</t>
  </si>
  <si>
    <t>G110101099</t>
  </si>
  <si>
    <t>金盛</t>
  </si>
  <si>
    <t>G110101111</t>
  </si>
  <si>
    <t>金源</t>
  </si>
  <si>
    <t>G04001202307239</t>
  </si>
  <si>
    <t>华特东莞</t>
  </si>
  <si>
    <t>G130901040</t>
  </si>
  <si>
    <t>荣达</t>
  </si>
  <si>
    <t>G10001202411069</t>
  </si>
  <si>
    <t>华兴</t>
  </si>
  <si>
    <t>胶筒</t>
  </si>
  <si>
    <t>G130902051</t>
  </si>
  <si>
    <t>华纳</t>
  </si>
  <si>
    <t>G03001202304043</t>
  </si>
  <si>
    <t>东元</t>
  </si>
  <si>
    <t>G140201016</t>
  </si>
  <si>
    <t>广福</t>
  </si>
  <si>
    <t>G130902167</t>
  </si>
  <si>
    <t>华宇</t>
  </si>
  <si>
    <t>G130902099</t>
  </si>
  <si>
    <t>凯龙</t>
  </si>
  <si>
    <t>G130902087</t>
  </si>
  <si>
    <t>兰花</t>
  </si>
  <si>
    <t>G03001202404243</t>
  </si>
  <si>
    <t>新华发</t>
  </si>
  <si>
    <t>G130902311</t>
  </si>
  <si>
    <t>江佑</t>
  </si>
  <si>
    <t>G190201035</t>
  </si>
  <si>
    <t>天石</t>
  </si>
  <si>
    <t>G130902170</t>
  </si>
  <si>
    <t>五全</t>
  </si>
  <si>
    <t>G140202001</t>
  </si>
  <si>
    <t>科隆</t>
  </si>
  <si>
    <t>G1504452</t>
  </si>
  <si>
    <t>金山</t>
  </si>
  <si>
    <t>G110101049</t>
  </si>
  <si>
    <t>今桂</t>
  </si>
  <si>
    <t>G190201007</t>
  </si>
  <si>
    <t>建橙</t>
  </si>
  <si>
    <t>封头剂</t>
  </si>
  <si>
    <t>G190201006</t>
  </si>
  <si>
    <t>百图</t>
  </si>
  <si>
    <t>导热粉</t>
  </si>
  <si>
    <t>货到付款</t>
  </si>
  <si>
    <t>K090102971</t>
  </si>
  <si>
    <t>智远</t>
  </si>
  <si>
    <t>G190101210</t>
  </si>
  <si>
    <t>荃宇生</t>
  </si>
  <si>
    <t>G03001202408241</t>
  </si>
  <si>
    <t>集雅</t>
  </si>
  <si>
    <t>软膜</t>
  </si>
  <si>
    <t>G03001202404242</t>
  </si>
  <si>
    <t>柏如鸿</t>
  </si>
  <si>
    <t>纸箱</t>
  </si>
  <si>
    <t>G130902094</t>
  </si>
  <si>
    <t>长能</t>
  </si>
  <si>
    <t>胶筒、软膜</t>
  </si>
  <si>
    <t>G130902261</t>
  </si>
  <si>
    <t>常州</t>
  </si>
  <si>
    <t>G05001202405163</t>
  </si>
  <si>
    <t>星东升</t>
  </si>
  <si>
    <t>G130902137</t>
  </si>
  <si>
    <t>晨光</t>
  </si>
  <si>
    <t>偶联剂</t>
  </si>
  <si>
    <t>G05001202312078</t>
  </si>
  <si>
    <t>浦森</t>
  </si>
  <si>
    <t>G01001202407094</t>
  </si>
  <si>
    <t>宇奇麟</t>
  </si>
  <si>
    <t>G110101010</t>
  </si>
  <si>
    <t>东铭</t>
  </si>
  <si>
    <t>G110101014</t>
  </si>
  <si>
    <t>仁安</t>
  </si>
  <si>
    <t>纸箱、软膜、胶筒</t>
  </si>
  <si>
    <t>可支付金额</t>
  </si>
  <si>
    <t>分类</t>
  </si>
  <si>
    <t>优先级</t>
  </si>
  <si>
    <t>成本二部</t>
  </si>
  <si>
    <t>成本三部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</si>
</sst>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2">
    <font>
      <sz val="11"/>
      <color theme="1"/>
      <name val="宋体"/>
      <charset val="134"/>
      <scheme val="minor"/>
    </font>
    <font>
      <b/>
      <sz val="12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name val="等线"/>
      <charset val="134"/>
    </font>
    <font>
      <b/>
      <sz val="12"/>
      <name val="微软雅黑"/>
      <charset val="134"/>
    </font>
    <font>
      <b/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4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5" borderId="5">
      <alignment vertical="center"/>
    </xf>
    <xf numFmtId="0" fontId="22" fillId="6" borderId="6">
      <alignment vertical="center"/>
    </xf>
    <xf numFmtId="0" fontId="23" fillId="6" borderId="5">
      <alignment vertical="center"/>
    </xf>
    <xf numFmtId="0" fontId="24" fillId="7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</cellStyleXfs>
  <cellXfs count="5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43" fontId="1" fillId="0" borderId="1" xfId="0" applyNumberFormat="1" applyFont="1" applyFill="1" applyBorder="1" applyAlignment="1">
      <alignment horizontal="left" vertical="center" wrapText="1"/>
    </xf>
    <xf numFmtId="43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2" borderId="0" xfId="0" applyFill="1" applyBorder="1">
      <alignment vertical="center"/>
    </xf>
    <xf numFmtId="43" fontId="0" fillId="0" borderId="0" xfId="0" applyNumberForma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3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 hidden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left" vertical="center" wrapText="1"/>
      <protection hidden="1"/>
    </xf>
    <xf numFmtId="0" fontId="1" fillId="0" borderId="1" xfId="0" applyFont="1" applyFill="1" applyBorder="1" applyAlignment="1">
      <alignment horizontal="left" vertical="center" wrapText="1"/>
    </xf>
    <xf numFmtId="43" fontId="5" fillId="3" borderId="1" xfId="0" applyNumberFormat="1" applyFont="1" applyFill="1" applyBorder="1" applyAlignment="1">
      <alignment vertical="center" wrapText="1"/>
    </xf>
    <xf numFmtId="43" fontId="5" fillId="0" borderId="1" xfId="0" applyNumberFormat="1" applyFont="1" applyFill="1" applyBorder="1" applyAlignment="1">
      <alignment vertical="center" wrapText="1"/>
    </xf>
    <xf numFmtId="43" fontId="6" fillId="0" borderId="1" xfId="0" applyNumberFormat="1" applyFont="1" applyFill="1" applyBorder="1" applyAlignment="1">
      <alignment vertical="center" wrapText="1"/>
    </xf>
    <xf numFmtId="43" fontId="6" fillId="3" borderId="1" xfId="0" applyNumberFormat="1" applyFont="1" applyFill="1" applyBorder="1" applyAlignment="1">
      <alignment vertical="center" wrapText="1"/>
    </xf>
    <xf numFmtId="43" fontId="1" fillId="3" borderId="1" xfId="0" applyNumberFormat="1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43" fontId="8" fillId="0" borderId="1" xfId="0" applyNumberFormat="1" applyFont="1" applyFill="1" applyBorder="1" applyAlignment="1">
      <alignment vertical="center" wrapText="1"/>
    </xf>
    <xf numFmtId="43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3" fontId="10" fillId="0" borderId="1" xfId="0" applyNumberFormat="1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14" fontId="0" fillId="0" borderId="1" xfId="0" applyNumberFormat="1" applyFill="1" applyBorder="1">
      <alignment vertical="center"/>
    </xf>
    <xf numFmtId="43" fontId="0" fillId="0" borderId="1" xfId="0" applyNumberFormat="1" applyFont="1" applyFill="1" applyBorder="1">
      <alignment vertical="center"/>
    </xf>
    <xf numFmtId="43" fontId="0" fillId="0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43" fontId="0" fillId="2" borderId="1" xfId="0" applyNumberFormat="1" applyFont="1" applyFill="1" applyBorder="1">
      <alignment vertical="center"/>
    </xf>
    <xf numFmtId="43" fontId="0" fillId="2" borderId="1" xfId="0" applyNumberForma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14" fontId="0" fillId="0" borderId="1" xfId="0" applyNumberFormat="1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0" fillId="0" borderId="1" xfId="0" applyNumberFormat="1" applyFont="1" applyFill="1" applyBorder="1">
      <alignment vertical="center"/>
    </xf>
    <xf numFmtId="43" fontId="11" fillId="0" borderId="1" xfId="0" applyNumberFormat="1" applyFont="1" applyFill="1" applyBorder="1">
      <alignment vertical="center"/>
    </xf>
    <xf numFmtId="43" fontId="12" fillId="0" borderId="1" xfId="0" applyNumberFormat="1" applyFon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horizontal="left" vertical="center"/>
    </xf>
    <xf numFmtId="14" fontId="0" fillId="2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57"/>
  <sheetViews>
    <sheetView tabSelected="1" workbookViewId="0">
      <pane ySplit="2" topLeftCell="A3" activePane="bottomLeft" state="frozen"/>
      <selection/>
      <selection pane="bottomLeft" activeCell="N3" sqref="N3"/>
    </sheetView>
  </sheetViews>
  <sheetFormatPr defaultColWidth="9" defaultRowHeight="16.8"/>
  <cols>
    <col min="1" max="1" width="54" style="5" customWidth="1"/>
    <col min="2" max="2" width="15.125" style="5" customWidth="1"/>
    <col min="3" max="3" width="11.125" style="5" customWidth="1"/>
    <col min="4" max="4" width="10.125" style="5" customWidth="1"/>
    <col min="5" max="6" width="13.125" style="5" customWidth="1"/>
    <col min="7" max="7" width="7.25" style="5" customWidth="1"/>
    <col min="8" max="8" width="15.875" style="8" customWidth="1"/>
    <col min="9" max="9" width="15.75" style="5" customWidth="1"/>
    <col min="10" max="11" width="8.50961538461539" style="5" customWidth="1"/>
    <col min="12" max="12" width="14.75" style="5" customWidth="1"/>
    <col min="13" max="14" width="16.1923076923077" style="8"/>
    <col min="15" max="15" width="14.5096153846154" style="8" customWidth="1"/>
    <col min="16" max="16" width="9" style="8" hidden="1" customWidth="1"/>
    <col min="17" max="17" width="25" style="8" customWidth="1"/>
    <col min="18" max="18" width="21" style="8" customWidth="1"/>
    <col min="19" max="19" width="28.1923076923077" style="8" customWidth="1"/>
    <col min="20" max="20" width="23.5480769230769" style="8" customWidth="1"/>
    <col min="21" max="21" width="18.375" style="8" customWidth="1"/>
    <col min="22" max="22" width="22.5961538461538" style="8" customWidth="1"/>
    <col min="23" max="23" width="22.125" style="8" customWidth="1"/>
    <col min="24" max="24" width="14.25" style="8" customWidth="1"/>
    <col min="25" max="25" width="24.375" style="5" customWidth="1"/>
    <col min="26" max="26" width="20.5096153846154" style="5" customWidth="1"/>
    <col min="27" max="31" width="16" style="5" customWidth="1"/>
    <col min="32" max="32" width="16.375" style="5" customWidth="1"/>
    <col min="33" max="35" width="16" style="5" customWidth="1"/>
    <col min="36" max="37" width="15.625" style="5" customWidth="1"/>
    <col min="38" max="53" width="16" style="5" customWidth="1"/>
    <col min="54" max="54" width="12.125" style="5" hidden="1" customWidth="1"/>
    <col min="55" max="55" width="17.125" style="5" hidden="1" customWidth="1"/>
    <col min="56" max="56" width="18.25" style="5" hidden="1" customWidth="1"/>
    <col min="57" max="57" width="18.75" style="5" hidden="1" customWidth="1"/>
    <col min="58" max="58" width="9.625" style="5" customWidth="1"/>
    <col min="59" max="59" width="17.125" style="5" customWidth="1"/>
    <col min="60" max="64" width="16" style="5" customWidth="1"/>
    <col min="65" max="65" width="18.5096153846154" style="5" customWidth="1"/>
    <col min="66" max="69" width="12" style="5" customWidth="1"/>
    <col min="70" max="70" width="12.7980769230769" style="5" customWidth="1"/>
    <col min="71" max="71" width="15.125" style="5" customWidth="1"/>
    <col min="72" max="16384" width="9" style="5"/>
  </cols>
  <sheetData>
    <row r="1" s="5" customFormat="1" ht="20" customHeight="1" spans="1:71">
      <c r="A1" s="9" t="s">
        <v>0</v>
      </c>
      <c r="B1" s="9"/>
      <c r="C1" s="9"/>
      <c r="D1" s="9"/>
      <c r="E1" s="9"/>
      <c r="F1" s="9"/>
      <c r="G1" s="9"/>
      <c r="H1" s="10"/>
      <c r="I1" s="11" t="s">
        <v>1</v>
      </c>
      <c r="J1" s="11"/>
      <c r="K1" s="11"/>
      <c r="L1" s="11"/>
      <c r="M1" s="11"/>
      <c r="N1" s="12" t="s">
        <v>2</v>
      </c>
      <c r="O1" s="12"/>
      <c r="P1" s="12"/>
      <c r="Q1" s="12" t="s">
        <v>3</v>
      </c>
      <c r="R1" s="12"/>
      <c r="S1" s="12"/>
      <c r="T1" s="12"/>
      <c r="U1" s="12"/>
      <c r="V1" s="12"/>
      <c r="W1" s="12"/>
      <c r="X1" s="12"/>
      <c r="Y1" s="9"/>
      <c r="Z1" s="13" t="s">
        <v>4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4" t="s">
        <v>5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5" t="s">
        <v>6</v>
      </c>
      <c r="BC1" s="15"/>
      <c r="BD1" s="15"/>
      <c r="BE1" s="15"/>
      <c r="BF1" s="15" t="s">
        <v>7</v>
      </c>
      <c r="BG1" s="15"/>
      <c r="BH1" s="15"/>
      <c r="BI1" s="15"/>
      <c r="BJ1" s="15"/>
      <c r="BK1" s="15"/>
      <c r="BL1" s="15"/>
      <c r="BM1" s="15"/>
      <c r="BN1" s="11" t="s">
        <v>8</v>
      </c>
      <c r="BO1" s="11"/>
      <c r="BP1" s="11"/>
      <c r="BQ1" s="11"/>
      <c r="BR1" s="11"/>
      <c r="BS1" s="11"/>
    </row>
    <row r="2" s="6" customFormat="1" ht="141" spans="1:71">
      <c r="A2" s="16" t="s">
        <v>9</v>
      </c>
      <c r="B2" s="16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  <c r="H2" s="3" t="s">
        <v>16</v>
      </c>
      <c r="I2" s="17" t="s">
        <v>17</v>
      </c>
      <c r="J2" s="17" t="s">
        <v>18</v>
      </c>
      <c r="K2" s="17" t="s">
        <v>19</v>
      </c>
      <c r="L2" s="17" t="s">
        <v>20</v>
      </c>
      <c r="M2" s="17" t="s">
        <v>21</v>
      </c>
      <c r="N2" s="18" t="s">
        <v>2</v>
      </c>
      <c r="O2" s="19" t="s">
        <v>22</v>
      </c>
      <c r="P2" s="20" t="s">
        <v>23</v>
      </c>
      <c r="Q2" s="21" t="s">
        <v>24</v>
      </c>
      <c r="R2" s="22" t="s">
        <v>25</v>
      </c>
      <c r="S2" s="22" t="s">
        <v>26</v>
      </c>
      <c r="T2" s="22" t="s">
        <v>27</v>
      </c>
      <c r="U2" s="22" t="s">
        <v>28</v>
      </c>
      <c r="V2" s="22" t="s">
        <v>29</v>
      </c>
      <c r="W2" s="22" t="s">
        <v>30</v>
      </c>
      <c r="X2" s="22" t="s">
        <v>31</v>
      </c>
      <c r="Y2" s="23" t="s">
        <v>32</v>
      </c>
      <c r="Z2" s="24" t="s">
        <v>33</v>
      </c>
      <c r="AA2" s="24" t="s">
        <v>34</v>
      </c>
      <c r="AB2" s="24" t="s">
        <v>35</v>
      </c>
      <c r="AC2" s="24" t="s">
        <v>36</v>
      </c>
      <c r="AD2" s="24" t="s">
        <v>37</v>
      </c>
      <c r="AE2" s="24" t="s">
        <v>38</v>
      </c>
      <c r="AF2" s="24" t="s">
        <v>39</v>
      </c>
      <c r="AG2" s="24" t="s">
        <v>40</v>
      </c>
      <c r="AH2" s="24" t="s">
        <v>41</v>
      </c>
      <c r="AI2" s="24" t="s">
        <v>42</v>
      </c>
      <c r="AJ2" s="24" t="s">
        <v>43</v>
      </c>
      <c r="AK2" s="24" t="s">
        <v>44</v>
      </c>
      <c r="AL2" s="25" t="s">
        <v>45</v>
      </c>
      <c r="AM2" s="25" t="s">
        <v>46</v>
      </c>
      <c r="AN2" s="24" t="s">
        <v>16</v>
      </c>
      <c r="AO2" s="26" t="s">
        <v>47</v>
      </c>
      <c r="AP2" s="26" t="s">
        <v>48</v>
      </c>
      <c r="AQ2" s="26" t="s">
        <v>49</v>
      </c>
      <c r="AR2" s="26" t="s">
        <v>50</v>
      </c>
      <c r="AS2" s="26" t="s">
        <v>51</v>
      </c>
      <c r="AT2" s="26" t="s">
        <v>52</v>
      </c>
      <c r="AU2" s="26" t="s">
        <v>53</v>
      </c>
      <c r="AV2" s="26" t="s">
        <v>54</v>
      </c>
      <c r="AW2" s="26" t="s">
        <v>55</v>
      </c>
      <c r="AX2" s="26" t="s">
        <v>56</v>
      </c>
      <c r="AY2" s="26" t="s">
        <v>57</v>
      </c>
      <c r="AZ2" s="26" t="s">
        <v>58</v>
      </c>
      <c r="BA2" s="26" t="s">
        <v>59</v>
      </c>
      <c r="BB2" s="26" t="s">
        <v>60</v>
      </c>
      <c r="BC2" s="27" t="s">
        <v>61</v>
      </c>
      <c r="BD2" s="27" t="s">
        <v>62</v>
      </c>
      <c r="BE2" s="27" t="s">
        <v>63</v>
      </c>
      <c r="BF2" s="28" t="s">
        <v>15</v>
      </c>
      <c r="BG2" s="29" t="s">
        <v>64</v>
      </c>
      <c r="BH2" s="29" t="s">
        <v>65</v>
      </c>
      <c r="BI2" s="29" t="s">
        <v>66</v>
      </c>
      <c r="BJ2" s="29" t="s">
        <v>67</v>
      </c>
      <c r="BK2" s="29" t="s">
        <v>68</v>
      </c>
      <c r="BL2" s="29" t="s">
        <v>69</v>
      </c>
      <c r="BM2" s="29" t="s">
        <v>70</v>
      </c>
      <c r="BN2" s="30" t="s">
        <v>71</v>
      </c>
      <c r="BO2" s="30" t="s">
        <v>72</v>
      </c>
      <c r="BP2" s="30" t="s">
        <v>62</v>
      </c>
      <c r="BQ2" s="30" t="s">
        <v>61</v>
      </c>
      <c r="BR2" s="30" t="s">
        <v>73</v>
      </c>
      <c r="BS2" s="30" t="s">
        <v>63</v>
      </c>
    </row>
    <row r="3" s="6" customFormat="1" ht="18" spans="1:71">
      <c r="A3" s="16"/>
      <c r="B3" s="16"/>
      <c r="C3" s="17"/>
      <c r="D3" s="17"/>
      <c r="E3" s="17"/>
      <c r="F3" s="17"/>
      <c r="G3" s="17"/>
      <c r="H3" s="3"/>
      <c r="I3" s="17"/>
      <c r="J3" s="17"/>
      <c r="K3" s="17"/>
      <c r="L3" s="17"/>
      <c r="M3" s="19"/>
      <c r="N3" s="19"/>
      <c r="O3" s="19"/>
      <c r="P3" s="20"/>
      <c r="Q3" s="20" t="s">
        <v>74</v>
      </c>
      <c r="R3" s="3" t="s">
        <v>75</v>
      </c>
      <c r="S3" s="3" t="s">
        <v>76</v>
      </c>
      <c r="T3" s="3" t="s">
        <v>75</v>
      </c>
      <c r="U3" s="3" t="s">
        <v>77</v>
      </c>
      <c r="V3" s="3" t="s">
        <v>78</v>
      </c>
      <c r="W3" s="3" t="s">
        <v>79</v>
      </c>
      <c r="X3" s="3"/>
      <c r="Y3" s="31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7"/>
      <c r="BD3" s="27"/>
      <c r="BE3" s="27"/>
      <c r="BF3" s="28"/>
      <c r="BG3" s="29"/>
      <c r="BH3" s="29"/>
      <c r="BI3" s="29"/>
      <c r="BJ3" s="29"/>
      <c r="BK3" s="29"/>
      <c r="BL3" s="29"/>
      <c r="BM3" s="29"/>
      <c r="BN3" s="30"/>
      <c r="BO3" s="30"/>
      <c r="BP3" s="30"/>
      <c r="BQ3" s="30"/>
      <c r="BR3" s="30"/>
      <c r="BS3" s="30"/>
    </row>
    <row r="4" s="6" customFormat="1" ht="19" customHeight="1" spans="1:71">
      <c r="A4" s="16"/>
      <c r="B4" s="16"/>
      <c r="C4" s="17"/>
      <c r="D4" s="17"/>
      <c r="E4" s="17"/>
      <c r="F4" s="17"/>
      <c r="G4" s="17"/>
      <c r="H4" s="3"/>
      <c r="I4" s="17"/>
      <c r="J4" s="17"/>
      <c r="K4" s="17"/>
      <c r="L4" s="17"/>
      <c r="M4" s="19"/>
      <c r="N4" s="19"/>
      <c r="O4" s="19"/>
      <c r="P4" s="20"/>
      <c r="Q4" s="20" t="s">
        <v>80</v>
      </c>
      <c r="R4" s="3">
        <v>10000000</v>
      </c>
      <c r="S4" s="3">
        <v>15000000</v>
      </c>
      <c r="T4" s="3">
        <v>5000000</v>
      </c>
      <c r="U4" s="3">
        <v>8000000</v>
      </c>
      <c r="V4" s="3">
        <v>5220000</v>
      </c>
      <c r="W4" s="3">
        <v>3000000</v>
      </c>
      <c r="X4" s="3"/>
      <c r="Y4" s="31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7"/>
      <c r="BD4" s="27"/>
      <c r="BE4" s="27"/>
      <c r="BF4" s="28"/>
      <c r="BG4" s="29"/>
      <c r="BH4" s="29"/>
      <c r="BI4" s="29"/>
      <c r="BJ4" s="29"/>
      <c r="BK4" s="29"/>
      <c r="BL4" s="29"/>
      <c r="BM4" s="29"/>
      <c r="BN4" s="30"/>
      <c r="BO4" s="30"/>
      <c r="BP4" s="30"/>
      <c r="BQ4" s="30"/>
      <c r="BR4" s="30"/>
      <c r="BS4" s="30"/>
    </row>
    <row r="5" s="6" customFormat="1" ht="17.6" spans="1:71">
      <c r="A5" s="16"/>
      <c r="B5" s="16"/>
      <c r="C5" s="17"/>
      <c r="D5" s="17"/>
      <c r="E5" s="17"/>
      <c r="F5" s="17"/>
      <c r="G5" s="17"/>
      <c r="H5" s="3"/>
      <c r="I5" s="17"/>
      <c r="J5" s="17"/>
      <c r="K5" s="17"/>
      <c r="L5" s="17"/>
      <c r="M5" s="19"/>
      <c r="N5" s="19"/>
      <c r="O5" s="19"/>
      <c r="P5" s="20"/>
      <c r="Q5" s="20" t="s">
        <v>81</v>
      </c>
      <c r="R5" s="3">
        <v>10000000</v>
      </c>
      <c r="S5" s="3">
        <v>15000000</v>
      </c>
      <c r="T5" s="3">
        <v>5000000</v>
      </c>
      <c r="U5" s="3">
        <v>8000000</v>
      </c>
      <c r="V5" s="3">
        <v>5220000</v>
      </c>
      <c r="W5" s="3">
        <v>3000000</v>
      </c>
      <c r="X5" s="3"/>
      <c r="Y5" s="31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7"/>
      <c r="BD5" s="27"/>
      <c r="BE5" s="27"/>
      <c r="BF5" s="28"/>
      <c r="BG5" s="29"/>
      <c r="BH5" s="29"/>
      <c r="BI5" s="29"/>
      <c r="BJ5" s="29"/>
      <c r="BK5" s="29"/>
      <c r="BL5" s="29"/>
      <c r="BM5" s="29"/>
      <c r="BN5" s="30"/>
      <c r="BO5" s="30"/>
      <c r="BP5" s="30"/>
      <c r="BQ5" s="30"/>
      <c r="BR5" s="30"/>
      <c r="BS5" s="30"/>
    </row>
    <row r="6" s="6" customFormat="1" ht="17.6" spans="1:71">
      <c r="A6" s="16"/>
      <c r="B6" s="16"/>
      <c r="C6" s="17"/>
      <c r="D6" s="17"/>
      <c r="E6" s="17"/>
      <c r="F6" s="17"/>
      <c r="G6" s="17"/>
      <c r="H6" s="3"/>
      <c r="I6" s="17"/>
      <c r="J6" s="17"/>
      <c r="K6" s="17"/>
      <c r="L6" s="17"/>
      <c r="M6" s="19"/>
      <c r="N6" s="19"/>
      <c r="O6" s="19"/>
      <c r="P6" s="20"/>
      <c r="Q6" s="20" t="s">
        <v>82</v>
      </c>
      <c r="R6" s="32">
        <v>46127</v>
      </c>
      <c r="S6" s="32">
        <v>46132</v>
      </c>
      <c r="T6" s="32">
        <v>46137</v>
      </c>
      <c r="U6" s="32">
        <v>46140</v>
      </c>
      <c r="V6" s="32">
        <v>46127</v>
      </c>
      <c r="W6" s="32">
        <v>46142</v>
      </c>
      <c r="X6" s="3"/>
      <c r="Y6" s="31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7"/>
      <c r="BD6" s="27"/>
      <c r="BE6" s="27"/>
      <c r="BF6" s="28"/>
      <c r="BG6" s="29"/>
      <c r="BH6" s="29"/>
      <c r="BI6" s="29"/>
      <c r="BJ6" s="29"/>
      <c r="BK6" s="29"/>
      <c r="BL6" s="29"/>
      <c r="BM6" s="29"/>
      <c r="BN6" s="30"/>
      <c r="BO6" s="30"/>
      <c r="BP6" s="30"/>
      <c r="BQ6" s="30"/>
      <c r="BR6" s="30"/>
      <c r="BS6" s="30"/>
    </row>
    <row r="7" s="6" customFormat="1" ht="106" spans="1:71">
      <c r="A7" s="16"/>
      <c r="B7" s="16"/>
      <c r="C7" s="17"/>
      <c r="D7" s="17"/>
      <c r="E7" s="17"/>
      <c r="F7" s="17"/>
      <c r="G7" s="17"/>
      <c r="H7" s="3"/>
      <c r="I7" s="17"/>
      <c r="J7" s="17"/>
      <c r="K7" s="17"/>
      <c r="L7" s="17"/>
      <c r="M7" s="19"/>
      <c r="N7" s="19"/>
      <c r="O7" s="19"/>
      <c r="P7" s="20"/>
      <c r="Q7" s="20" t="s">
        <v>83</v>
      </c>
      <c r="R7" s="3" t="s">
        <v>84</v>
      </c>
      <c r="S7" s="3" t="s">
        <v>85</v>
      </c>
      <c r="T7" s="3" t="s">
        <v>84</v>
      </c>
      <c r="U7" s="3" t="s">
        <v>85</v>
      </c>
      <c r="V7" s="3" t="s">
        <v>84</v>
      </c>
      <c r="W7" s="3" t="s">
        <v>86</v>
      </c>
      <c r="X7" s="3"/>
      <c r="Y7" s="31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7"/>
      <c r="BD7" s="27"/>
      <c r="BE7" s="27"/>
      <c r="BF7" s="28"/>
      <c r="BG7" s="29"/>
      <c r="BH7" s="29"/>
      <c r="BI7" s="29"/>
      <c r="BJ7" s="29"/>
      <c r="BK7" s="29"/>
      <c r="BL7" s="29"/>
      <c r="BM7" s="29"/>
      <c r="BN7" s="30"/>
      <c r="BO7" s="30"/>
      <c r="BP7" s="30"/>
      <c r="BQ7" s="30"/>
      <c r="BR7" s="30"/>
      <c r="BS7" s="30"/>
    </row>
    <row r="8" s="6" customFormat="1" ht="36" spans="1:71">
      <c r="A8" s="16"/>
      <c r="B8" s="16"/>
      <c r="C8" s="17"/>
      <c r="D8" s="17"/>
      <c r="E8" s="17"/>
      <c r="F8" s="17"/>
      <c r="G8" s="17"/>
      <c r="H8" s="3"/>
      <c r="I8" s="17"/>
      <c r="J8" s="17"/>
      <c r="K8" s="17"/>
      <c r="L8" s="17"/>
      <c r="M8" s="19"/>
      <c r="N8" s="19"/>
      <c r="O8" s="19"/>
      <c r="P8" s="20"/>
      <c r="Q8" s="20" t="s">
        <v>87</v>
      </c>
      <c r="R8" s="3" t="s">
        <v>88</v>
      </c>
      <c r="S8" s="3" t="s">
        <v>89</v>
      </c>
      <c r="T8" s="3" t="s">
        <v>88</v>
      </c>
      <c r="U8" s="3" t="s">
        <v>89</v>
      </c>
      <c r="V8" s="3" t="s">
        <v>78</v>
      </c>
      <c r="W8" s="3" t="s">
        <v>90</v>
      </c>
      <c r="X8" s="3"/>
      <c r="Y8" s="31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7"/>
      <c r="BD8" s="27"/>
      <c r="BE8" s="27"/>
      <c r="BF8" s="28"/>
      <c r="BG8" s="29"/>
      <c r="BH8" s="29"/>
      <c r="BI8" s="29"/>
      <c r="BJ8" s="29"/>
      <c r="BK8" s="29"/>
      <c r="BL8" s="29"/>
      <c r="BM8" s="29"/>
      <c r="BN8" s="30"/>
      <c r="BO8" s="30"/>
      <c r="BP8" s="30"/>
      <c r="BQ8" s="30"/>
      <c r="BR8" s="30"/>
      <c r="BS8" s="30"/>
    </row>
    <row r="9" s="5" customFormat="1" spans="1:71">
      <c r="A9" s="33" t="s">
        <v>91</v>
      </c>
      <c r="B9" s="33" t="s">
        <v>92</v>
      </c>
      <c r="C9" s="33" t="s">
        <v>93</v>
      </c>
      <c r="D9" s="33" t="s">
        <v>79</v>
      </c>
      <c r="E9" s="33">
        <v>0</v>
      </c>
      <c r="F9" s="34">
        <v>46142</v>
      </c>
      <c r="G9" s="33" t="s">
        <v>94</v>
      </c>
      <c r="H9" s="35">
        <v>0</v>
      </c>
      <c r="I9" s="33" t="s">
        <v>95</v>
      </c>
      <c r="J9" s="33" t="s">
        <v>96</v>
      </c>
      <c r="K9" s="33" t="s">
        <v>96</v>
      </c>
      <c r="L9" s="33" t="s">
        <v>88</v>
      </c>
      <c r="M9" s="36"/>
      <c r="N9" s="36" t="s">
        <v>97</v>
      </c>
      <c r="O9" s="36" t="s">
        <v>97</v>
      </c>
      <c r="P9" s="36"/>
      <c r="Q9" s="36"/>
      <c r="R9" s="36"/>
      <c r="S9" s="36"/>
      <c r="T9" s="36"/>
      <c r="U9" s="36"/>
      <c r="V9" s="36"/>
      <c r="W9" s="36"/>
      <c r="X9" s="35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/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276</v>
      </c>
      <c r="AT9" s="36">
        <v>0</v>
      </c>
      <c r="AU9" s="36">
        <v>90</v>
      </c>
      <c r="AV9" s="36">
        <v>1762</v>
      </c>
      <c r="AW9" s="36">
        <v>0</v>
      </c>
      <c r="AX9" s="36">
        <v>0</v>
      </c>
      <c r="AY9" s="36">
        <v>0</v>
      </c>
      <c r="AZ9" s="36">
        <v>0</v>
      </c>
      <c r="BA9" s="36">
        <v>0</v>
      </c>
      <c r="BB9" s="36" t="s">
        <v>98</v>
      </c>
      <c r="BC9" s="36">
        <v>0</v>
      </c>
      <c r="BD9" s="36">
        <v>0</v>
      </c>
      <c r="BE9" s="36">
        <v>60</v>
      </c>
      <c r="BF9" s="33" t="s">
        <v>94</v>
      </c>
      <c r="BG9" s="36">
        <v>0</v>
      </c>
      <c r="BH9" s="36">
        <v>0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3">
        <v>0</v>
      </c>
      <c r="BO9" s="33">
        <v>0</v>
      </c>
      <c r="BP9" s="33">
        <v>0</v>
      </c>
      <c r="BQ9" s="33">
        <v>0</v>
      </c>
      <c r="BR9" s="33">
        <v>0</v>
      </c>
      <c r="BS9" s="33">
        <v>60</v>
      </c>
    </row>
    <row r="10" s="7" customFormat="1" spans="1:71">
      <c r="A10" s="33" t="s">
        <v>84</v>
      </c>
      <c r="B10" s="33" t="s">
        <v>99</v>
      </c>
      <c r="C10" s="33" t="s">
        <v>100</v>
      </c>
      <c r="D10" s="33"/>
      <c r="E10" s="33">
        <v>0</v>
      </c>
      <c r="F10" s="34">
        <v>46142</v>
      </c>
      <c r="G10" s="33" t="s">
        <v>94</v>
      </c>
      <c r="H10" s="35">
        <v>26057.8</v>
      </c>
      <c r="I10" s="33" t="s">
        <v>101</v>
      </c>
      <c r="J10" s="33" t="s">
        <v>96</v>
      </c>
      <c r="K10" s="33" t="s">
        <v>96</v>
      </c>
      <c r="L10" s="33" t="s">
        <v>88</v>
      </c>
      <c r="M10" s="36"/>
      <c r="N10" s="36" t="s">
        <v>97</v>
      </c>
      <c r="O10" s="36" t="s">
        <v>97</v>
      </c>
      <c r="P10" s="36"/>
      <c r="Q10" s="36"/>
      <c r="R10" s="36" t="s">
        <v>97</v>
      </c>
      <c r="S10" s="36"/>
      <c r="T10" s="36"/>
      <c r="U10" s="36"/>
      <c r="V10" s="36"/>
      <c r="W10" s="36"/>
      <c r="X10" s="35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/>
      <c r="AN10" s="36">
        <v>26057.8</v>
      </c>
      <c r="AO10" s="36">
        <v>12836.8</v>
      </c>
      <c r="AP10" s="36">
        <v>0</v>
      </c>
      <c r="AQ10" s="36">
        <v>13221</v>
      </c>
      <c r="AR10" s="36">
        <v>8814</v>
      </c>
      <c r="AS10" s="36">
        <v>0</v>
      </c>
      <c r="AT10" s="36">
        <v>0</v>
      </c>
      <c r="AU10" s="36">
        <v>26442</v>
      </c>
      <c r="AV10" s="36">
        <v>8814</v>
      </c>
      <c r="AW10" s="36">
        <v>8814</v>
      </c>
      <c r="AX10" s="36">
        <v>8814</v>
      </c>
      <c r="AY10" s="36">
        <v>8814</v>
      </c>
      <c r="AZ10" s="36">
        <v>0</v>
      </c>
      <c r="BA10" s="36">
        <v>4407</v>
      </c>
      <c r="BB10" s="36" t="s">
        <v>98</v>
      </c>
      <c r="BC10" s="36">
        <v>12836.8</v>
      </c>
      <c r="BD10" s="36">
        <v>26057.8</v>
      </c>
      <c r="BE10" s="36">
        <v>0</v>
      </c>
      <c r="BF10" s="33" t="s">
        <v>94</v>
      </c>
      <c r="BG10" s="36">
        <v>0</v>
      </c>
      <c r="BH10" s="36">
        <v>0</v>
      </c>
      <c r="BI10" s="36">
        <v>0</v>
      </c>
      <c r="BJ10" s="36">
        <v>0</v>
      </c>
      <c r="BK10" s="36">
        <v>0</v>
      </c>
      <c r="BL10" s="36">
        <v>0</v>
      </c>
      <c r="BM10" s="36">
        <v>0</v>
      </c>
      <c r="BN10" s="33">
        <v>12836.8</v>
      </c>
      <c r="BO10" s="33">
        <v>0</v>
      </c>
      <c r="BP10" s="33">
        <v>26057.8</v>
      </c>
      <c r="BQ10" s="33">
        <v>12836.8</v>
      </c>
      <c r="BR10" s="33">
        <v>0</v>
      </c>
      <c r="BS10" s="33">
        <v>0</v>
      </c>
    </row>
    <row r="11" s="5" customFormat="1" spans="1:71">
      <c r="A11" s="33" t="s">
        <v>102</v>
      </c>
      <c r="B11" s="33" t="s">
        <v>103</v>
      </c>
      <c r="C11" s="33" t="s">
        <v>104</v>
      </c>
      <c r="D11" s="33"/>
      <c r="E11" s="33">
        <v>2</v>
      </c>
      <c r="F11" s="34">
        <v>46142</v>
      </c>
      <c r="G11" s="33" t="s">
        <v>94</v>
      </c>
      <c r="H11" s="35">
        <v>150000</v>
      </c>
      <c r="I11" s="33" t="s">
        <v>105</v>
      </c>
      <c r="J11" s="33">
        <v>30</v>
      </c>
      <c r="K11" s="33">
        <v>150</v>
      </c>
      <c r="L11" s="33" t="s">
        <v>88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5">
        <v>0</v>
      </c>
      <c r="Y11" s="36">
        <v>544496</v>
      </c>
      <c r="Z11" s="36">
        <v>150000</v>
      </c>
      <c r="AA11" s="36">
        <v>0</v>
      </c>
      <c r="AB11" s="36">
        <v>0</v>
      </c>
      <c r="AC11" s="36">
        <v>150000</v>
      </c>
      <c r="AD11" s="36">
        <v>100000</v>
      </c>
      <c r="AE11" s="36">
        <v>0</v>
      </c>
      <c r="AF11" s="36">
        <v>100000</v>
      </c>
      <c r="AG11" s="36">
        <v>0</v>
      </c>
      <c r="AH11" s="36">
        <v>44496</v>
      </c>
      <c r="AI11" s="36">
        <v>0</v>
      </c>
      <c r="AJ11" s="36">
        <v>0</v>
      </c>
      <c r="AK11" s="36">
        <v>0</v>
      </c>
      <c r="AL11" s="36">
        <v>0</v>
      </c>
      <c r="AM11" s="36"/>
      <c r="AN11" s="36">
        <v>150000</v>
      </c>
      <c r="AO11" s="36">
        <v>150000</v>
      </c>
      <c r="AP11" s="36">
        <v>0</v>
      </c>
      <c r="AQ11" s="36">
        <v>0</v>
      </c>
      <c r="AR11" s="36">
        <v>150000</v>
      </c>
      <c r="AS11" s="36">
        <v>100000</v>
      </c>
      <c r="AT11" s="36">
        <v>0</v>
      </c>
      <c r="AU11" s="36">
        <v>100000</v>
      </c>
      <c r="AV11" s="36">
        <v>0</v>
      </c>
      <c r="AW11" s="36">
        <v>170800</v>
      </c>
      <c r="AX11" s="36">
        <v>0</v>
      </c>
      <c r="AY11" s="36">
        <v>94400</v>
      </c>
      <c r="AZ11" s="36">
        <v>188800</v>
      </c>
      <c r="BA11" s="36">
        <v>0</v>
      </c>
      <c r="BB11" s="36" t="s">
        <v>98</v>
      </c>
      <c r="BC11" s="36">
        <v>0</v>
      </c>
      <c r="BD11" s="36">
        <v>200000</v>
      </c>
      <c r="BE11" s="36">
        <v>0</v>
      </c>
      <c r="BF11" s="33" t="s">
        <v>94</v>
      </c>
      <c r="BG11" s="36">
        <v>150000</v>
      </c>
      <c r="BH11" s="36">
        <v>0</v>
      </c>
      <c r="BI11" s="36">
        <v>0</v>
      </c>
      <c r="BJ11" s="36">
        <v>150000</v>
      </c>
      <c r="BK11" s="36">
        <v>100000</v>
      </c>
      <c r="BL11" s="36">
        <v>0</v>
      </c>
      <c r="BM11" s="36">
        <v>144496</v>
      </c>
      <c r="BN11" s="33">
        <v>150000</v>
      </c>
      <c r="BO11" s="33">
        <v>0</v>
      </c>
      <c r="BP11" s="33">
        <v>200000</v>
      </c>
      <c r="BQ11" s="33">
        <v>0</v>
      </c>
      <c r="BR11" s="33">
        <v>544496</v>
      </c>
      <c r="BS11" s="33">
        <v>0</v>
      </c>
    </row>
    <row r="12" s="7" customFormat="1" spans="1:71">
      <c r="A12" s="37" t="s">
        <v>102</v>
      </c>
      <c r="B12" s="37" t="s">
        <v>106</v>
      </c>
      <c r="C12" s="37" t="s">
        <v>107</v>
      </c>
      <c r="D12" s="37"/>
      <c r="E12" s="37">
        <v>2</v>
      </c>
      <c r="F12" s="38">
        <v>46142</v>
      </c>
      <c r="G12" s="37" t="s">
        <v>94</v>
      </c>
      <c r="H12" s="39">
        <v>42900</v>
      </c>
      <c r="I12" s="37" t="s">
        <v>108</v>
      </c>
      <c r="J12" s="37">
        <v>30</v>
      </c>
      <c r="K12" s="37">
        <v>150</v>
      </c>
      <c r="L12" s="37" t="s">
        <v>88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39">
        <v>0</v>
      </c>
      <c r="Y12" s="40">
        <v>186535</v>
      </c>
      <c r="Z12" s="40">
        <v>0</v>
      </c>
      <c r="AA12" s="40">
        <v>0</v>
      </c>
      <c r="AB12" s="40">
        <v>42900</v>
      </c>
      <c r="AC12" s="40">
        <v>87000</v>
      </c>
      <c r="AD12" s="40">
        <v>0</v>
      </c>
      <c r="AE12" s="40">
        <v>56635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/>
      <c r="AN12" s="40">
        <v>42900</v>
      </c>
      <c r="AO12" s="40">
        <v>0</v>
      </c>
      <c r="AP12" s="40">
        <v>0</v>
      </c>
      <c r="AQ12" s="40">
        <v>42900</v>
      </c>
      <c r="AR12" s="40">
        <v>87000</v>
      </c>
      <c r="AS12" s="40">
        <v>0</v>
      </c>
      <c r="AT12" s="40">
        <v>56635</v>
      </c>
      <c r="AU12" s="40">
        <v>0</v>
      </c>
      <c r="AV12" s="40">
        <v>51400</v>
      </c>
      <c r="AW12" s="40">
        <v>0</v>
      </c>
      <c r="AX12" s="40">
        <v>143810</v>
      </c>
      <c r="AY12" s="40">
        <v>0</v>
      </c>
      <c r="AZ12" s="40">
        <v>40050</v>
      </c>
      <c r="BA12" s="40">
        <v>27210</v>
      </c>
      <c r="BB12" s="40" t="s">
        <v>98</v>
      </c>
      <c r="BC12" s="40">
        <v>51400</v>
      </c>
      <c r="BD12" s="40">
        <v>192470</v>
      </c>
      <c r="BE12" s="40">
        <v>46000</v>
      </c>
      <c r="BF12" s="37" t="s">
        <v>94</v>
      </c>
      <c r="BG12" s="40">
        <v>0</v>
      </c>
      <c r="BH12" s="40">
        <v>0</v>
      </c>
      <c r="BI12" s="40">
        <v>42900</v>
      </c>
      <c r="BJ12" s="40">
        <v>87000</v>
      </c>
      <c r="BK12" s="40">
        <v>0</v>
      </c>
      <c r="BL12" s="40">
        <v>56635</v>
      </c>
      <c r="BM12" s="40">
        <v>0</v>
      </c>
      <c r="BN12" s="37">
        <v>0</v>
      </c>
      <c r="BO12" s="37">
        <v>0</v>
      </c>
      <c r="BP12" s="37">
        <v>192470</v>
      </c>
      <c r="BQ12" s="37">
        <v>51400</v>
      </c>
      <c r="BR12" s="37">
        <v>186535</v>
      </c>
      <c r="BS12" s="37">
        <v>46000</v>
      </c>
    </row>
    <row r="13" s="5" customFormat="1" spans="1:71">
      <c r="A13" s="33" t="s">
        <v>102</v>
      </c>
      <c r="B13" s="33" t="s">
        <v>109</v>
      </c>
      <c r="C13" s="33" t="s">
        <v>110</v>
      </c>
      <c r="D13" s="33"/>
      <c r="E13" s="33">
        <v>2</v>
      </c>
      <c r="F13" s="34">
        <v>46142</v>
      </c>
      <c r="G13" s="33" t="s">
        <v>94</v>
      </c>
      <c r="H13" s="35">
        <v>0</v>
      </c>
      <c r="I13" s="33" t="s">
        <v>111</v>
      </c>
      <c r="J13" s="33">
        <v>180</v>
      </c>
      <c r="K13" s="33">
        <v>210</v>
      </c>
      <c r="L13" s="33" t="s">
        <v>112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5">
        <v>0</v>
      </c>
      <c r="Y13" s="36">
        <v>671732.51</v>
      </c>
      <c r="Z13" s="36">
        <v>0</v>
      </c>
      <c r="AA13" s="36">
        <v>0</v>
      </c>
      <c r="AB13" s="36">
        <v>0</v>
      </c>
      <c r="AC13" s="36">
        <v>0</v>
      </c>
      <c r="AD13" s="36">
        <v>10800</v>
      </c>
      <c r="AE13" s="36">
        <v>32400</v>
      </c>
      <c r="AF13" s="36">
        <v>628532.51</v>
      </c>
      <c r="AG13" s="36">
        <v>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/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10800</v>
      </c>
      <c r="AT13" s="36">
        <v>32400</v>
      </c>
      <c r="AU13" s="36">
        <v>633040</v>
      </c>
      <c r="AV13" s="36">
        <v>0</v>
      </c>
      <c r="AW13" s="36">
        <v>0</v>
      </c>
      <c r="AX13" s="36">
        <v>108000</v>
      </c>
      <c r="AY13" s="36">
        <v>247200</v>
      </c>
      <c r="AZ13" s="36">
        <v>0</v>
      </c>
      <c r="BA13" s="36">
        <v>0</v>
      </c>
      <c r="BB13" s="36" t="s">
        <v>98</v>
      </c>
      <c r="BC13" s="36">
        <v>0</v>
      </c>
      <c r="BD13" s="36">
        <v>108701.4</v>
      </c>
      <c r="BE13" s="36">
        <v>232320</v>
      </c>
      <c r="BF13" s="33" t="s">
        <v>94</v>
      </c>
      <c r="BG13" s="36">
        <v>0</v>
      </c>
      <c r="BH13" s="36">
        <v>0</v>
      </c>
      <c r="BI13" s="36">
        <v>0</v>
      </c>
      <c r="BJ13" s="36">
        <v>0</v>
      </c>
      <c r="BK13" s="36">
        <v>10800</v>
      </c>
      <c r="BL13" s="36">
        <v>32400</v>
      </c>
      <c r="BM13" s="36">
        <v>628532.51</v>
      </c>
      <c r="BN13" s="33">
        <v>0</v>
      </c>
      <c r="BO13" s="33">
        <v>0</v>
      </c>
      <c r="BP13" s="33">
        <v>108701.4</v>
      </c>
      <c r="BQ13" s="33">
        <v>0</v>
      </c>
      <c r="BR13" s="33">
        <v>671732.51</v>
      </c>
      <c r="BS13" s="33">
        <v>232320</v>
      </c>
    </row>
    <row r="14" s="5" customFormat="1" spans="1:71">
      <c r="A14" s="33" t="s">
        <v>102</v>
      </c>
      <c r="B14" s="33" t="s">
        <v>113</v>
      </c>
      <c r="C14" s="33" t="s">
        <v>114</v>
      </c>
      <c r="D14" s="33"/>
      <c r="E14" s="33">
        <v>2</v>
      </c>
      <c r="F14" s="34">
        <v>46142</v>
      </c>
      <c r="G14" s="33" t="s">
        <v>94</v>
      </c>
      <c r="H14" s="35">
        <v>0</v>
      </c>
      <c r="I14" s="33" t="s">
        <v>115</v>
      </c>
      <c r="J14" s="33">
        <v>180</v>
      </c>
      <c r="K14" s="33">
        <v>210</v>
      </c>
      <c r="L14" s="33" t="s">
        <v>116</v>
      </c>
      <c r="M14" s="36" t="s">
        <v>117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5">
        <v>0</v>
      </c>
      <c r="Y14" s="36">
        <v>1097167.46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213192</v>
      </c>
      <c r="AF14" s="36">
        <v>416280</v>
      </c>
      <c r="AG14" s="36">
        <v>265080</v>
      </c>
      <c r="AH14" s="36">
        <v>0</v>
      </c>
      <c r="AI14" s="36">
        <v>202615.46</v>
      </c>
      <c r="AJ14" s="36">
        <v>0</v>
      </c>
      <c r="AK14" s="36">
        <v>0</v>
      </c>
      <c r="AL14" s="36">
        <v>0</v>
      </c>
      <c r="AM14" s="36"/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213192</v>
      </c>
      <c r="AU14" s="36">
        <v>416280</v>
      </c>
      <c r="AV14" s="36">
        <v>265080</v>
      </c>
      <c r="AW14" s="36">
        <v>0</v>
      </c>
      <c r="AX14" s="36">
        <v>227760</v>
      </c>
      <c r="AY14" s="36">
        <v>998230</v>
      </c>
      <c r="AZ14" s="36">
        <v>0</v>
      </c>
      <c r="BA14" s="36">
        <v>0</v>
      </c>
      <c r="BB14" s="36" t="s">
        <v>98</v>
      </c>
      <c r="BC14" s="36">
        <v>0</v>
      </c>
      <c r="BD14" s="36">
        <v>1000000</v>
      </c>
      <c r="BE14" s="36">
        <v>1044516</v>
      </c>
      <c r="BF14" s="33" t="s">
        <v>94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213192</v>
      </c>
      <c r="BM14" s="36">
        <v>883975.46</v>
      </c>
      <c r="BN14" s="33">
        <v>0</v>
      </c>
      <c r="BO14" s="33">
        <v>0</v>
      </c>
      <c r="BP14" s="33">
        <v>1000000</v>
      </c>
      <c r="BQ14" s="33">
        <v>0</v>
      </c>
      <c r="BR14" s="33">
        <v>1097167.46</v>
      </c>
      <c r="BS14" s="33">
        <v>1044516</v>
      </c>
    </row>
    <row r="15" s="5" customFormat="1" spans="1:71">
      <c r="A15" s="33" t="s">
        <v>102</v>
      </c>
      <c r="B15" s="33" t="s">
        <v>118</v>
      </c>
      <c r="C15" s="33" t="s">
        <v>119</v>
      </c>
      <c r="D15" s="33"/>
      <c r="E15" s="33">
        <v>2</v>
      </c>
      <c r="F15" s="34">
        <v>46142</v>
      </c>
      <c r="G15" s="33" t="s">
        <v>94</v>
      </c>
      <c r="H15" s="35">
        <v>200000</v>
      </c>
      <c r="I15" s="33" t="s">
        <v>120</v>
      </c>
      <c r="J15" s="33">
        <v>180</v>
      </c>
      <c r="K15" s="33">
        <v>180</v>
      </c>
      <c r="L15" s="33" t="s">
        <v>116</v>
      </c>
      <c r="M15" s="36" t="s">
        <v>121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5">
        <v>0</v>
      </c>
      <c r="Y15" s="36">
        <v>391315.42</v>
      </c>
      <c r="Z15" s="36">
        <v>200000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>
        <v>191315.42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/>
      <c r="AN15" s="36">
        <v>200000</v>
      </c>
      <c r="AO15" s="36">
        <v>200000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200000</v>
      </c>
      <c r="AW15" s="36">
        <v>0</v>
      </c>
      <c r="AX15" s="36">
        <v>200000</v>
      </c>
      <c r="AY15" s="36">
        <v>200000</v>
      </c>
      <c r="AZ15" s="36">
        <v>350000</v>
      </c>
      <c r="BA15" s="36">
        <v>135000</v>
      </c>
      <c r="BB15" s="36" t="s">
        <v>98</v>
      </c>
      <c r="BC15" s="36">
        <v>0</v>
      </c>
      <c r="BD15" s="36">
        <v>400000</v>
      </c>
      <c r="BE15" s="36">
        <v>0</v>
      </c>
      <c r="BF15" s="33" t="s">
        <v>94</v>
      </c>
      <c r="BG15" s="36">
        <v>200000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191315.42</v>
      </c>
      <c r="BN15" s="33">
        <v>200000</v>
      </c>
      <c r="BO15" s="33">
        <v>0</v>
      </c>
      <c r="BP15" s="33">
        <v>400000</v>
      </c>
      <c r="BQ15" s="33">
        <v>0</v>
      </c>
      <c r="BR15" s="33">
        <v>391315.42</v>
      </c>
      <c r="BS15" s="33">
        <v>0</v>
      </c>
    </row>
    <row r="16" s="5" customFormat="1" spans="1:71">
      <c r="A16" s="41" t="s">
        <v>122</v>
      </c>
      <c r="B16" s="42" t="s">
        <v>123</v>
      </c>
      <c r="C16" s="41" t="s">
        <v>124</v>
      </c>
      <c r="D16" s="41"/>
      <c r="E16" s="41">
        <v>2</v>
      </c>
      <c r="F16" s="43">
        <v>46142</v>
      </c>
      <c r="G16" s="41" t="s">
        <v>94</v>
      </c>
      <c r="H16" s="35">
        <v>463488</v>
      </c>
      <c r="I16" s="33" t="s">
        <v>105</v>
      </c>
      <c r="J16" s="33">
        <v>180</v>
      </c>
      <c r="K16" s="33">
        <v>180</v>
      </c>
      <c r="L16" s="33" t="s">
        <v>116</v>
      </c>
      <c r="M16" s="36"/>
      <c r="N16" s="36"/>
      <c r="O16" s="36"/>
      <c r="P16" s="36"/>
      <c r="Q16" s="36"/>
      <c r="R16" s="36"/>
      <c r="S16" s="36"/>
      <c r="T16" s="35"/>
      <c r="U16" s="35"/>
      <c r="V16" s="35"/>
      <c r="W16" s="35"/>
      <c r="X16" s="35">
        <v>0</v>
      </c>
      <c r="Y16" s="36">
        <v>2878852.29</v>
      </c>
      <c r="Z16" s="36">
        <v>172608</v>
      </c>
      <c r="AA16" s="36">
        <v>290880</v>
      </c>
      <c r="AB16" s="36">
        <v>0</v>
      </c>
      <c r="AC16" s="36">
        <v>290880</v>
      </c>
      <c r="AD16" s="36">
        <v>401104</v>
      </c>
      <c r="AE16" s="36">
        <v>369600</v>
      </c>
      <c r="AF16" s="36">
        <v>350272</v>
      </c>
      <c r="AG16" s="36">
        <v>456192</v>
      </c>
      <c r="AH16" s="36">
        <v>215702</v>
      </c>
      <c r="AI16" s="36">
        <v>331614.29</v>
      </c>
      <c r="AJ16" s="36">
        <v>0</v>
      </c>
      <c r="AK16" s="36">
        <v>0</v>
      </c>
      <c r="AL16" s="36">
        <v>0</v>
      </c>
      <c r="AM16" s="36"/>
      <c r="AN16" s="36">
        <v>463488</v>
      </c>
      <c r="AO16" s="36">
        <v>172608</v>
      </c>
      <c r="AP16" s="36">
        <v>290880</v>
      </c>
      <c r="AQ16" s="36">
        <v>0</v>
      </c>
      <c r="AR16" s="36">
        <v>290880</v>
      </c>
      <c r="AS16" s="36">
        <v>401104</v>
      </c>
      <c r="AT16" s="36">
        <v>369600</v>
      </c>
      <c r="AU16" s="36">
        <v>350272</v>
      </c>
      <c r="AV16" s="36">
        <v>456192</v>
      </c>
      <c r="AW16" s="36">
        <v>215702</v>
      </c>
      <c r="AX16" s="36">
        <v>334854</v>
      </c>
      <c r="AY16" s="36">
        <v>644436</v>
      </c>
      <c r="AZ16" s="36">
        <v>697086</v>
      </c>
      <c r="BA16" s="36">
        <v>314496</v>
      </c>
      <c r="BB16" s="36" t="s">
        <v>98</v>
      </c>
      <c r="BC16" s="36">
        <v>550000</v>
      </c>
      <c r="BD16" s="36">
        <v>1050000</v>
      </c>
      <c r="BE16" s="36">
        <v>271656</v>
      </c>
      <c r="BF16" s="33" t="s">
        <v>94</v>
      </c>
      <c r="BG16" s="36">
        <v>172608</v>
      </c>
      <c r="BH16" s="36">
        <v>290880</v>
      </c>
      <c r="BI16" s="36">
        <v>0</v>
      </c>
      <c r="BJ16" s="36">
        <v>290880</v>
      </c>
      <c r="BK16" s="36">
        <v>401104</v>
      </c>
      <c r="BL16" s="36">
        <v>369600</v>
      </c>
      <c r="BM16" s="36">
        <v>1353780.29</v>
      </c>
      <c r="BN16" s="33">
        <v>172608</v>
      </c>
      <c r="BO16" s="33">
        <v>290880</v>
      </c>
      <c r="BP16" s="33">
        <v>1050000</v>
      </c>
      <c r="BQ16" s="33">
        <v>550000</v>
      </c>
      <c r="BR16" s="33">
        <v>2878852.29</v>
      </c>
      <c r="BS16" s="33">
        <v>271656</v>
      </c>
    </row>
    <row r="17" s="5" customFormat="1" spans="1:71">
      <c r="A17" s="41" t="s">
        <v>122</v>
      </c>
      <c r="B17" s="42" t="s">
        <v>125</v>
      </c>
      <c r="C17" s="41" t="s">
        <v>126</v>
      </c>
      <c r="D17" s="41"/>
      <c r="E17" s="41">
        <v>2</v>
      </c>
      <c r="F17" s="43">
        <v>46142</v>
      </c>
      <c r="G17" s="41" t="s">
        <v>94</v>
      </c>
      <c r="H17" s="35">
        <v>46800</v>
      </c>
      <c r="I17" s="33" t="s">
        <v>127</v>
      </c>
      <c r="J17" s="33">
        <v>90</v>
      </c>
      <c r="K17" s="33">
        <v>120</v>
      </c>
      <c r="L17" s="33" t="s">
        <v>112</v>
      </c>
      <c r="M17" s="36"/>
      <c r="N17" s="36"/>
      <c r="O17" s="36"/>
      <c r="P17" s="36"/>
      <c r="Q17" s="36"/>
      <c r="R17" s="36"/>
      <c r="S17" s="36"/>
      <c r="T17" s="35"/>
      <c r="U17" s="35"/>
      <c r="V17" s="35"/>
      <c r="W17" s="35"/>
      <c r="X17" s="35">
        <v>0</v>
      </c>
      <c r="Y17" s="36">
        <v>92805.03</v>
      </c>
      <c r="Z17" s="36">
        <v>23400</v>
      </c>
      <c r="AA17" s="36">
        <v>0</v>
      </c>
      <c r="AB17" s="36">
        <v>23400</v>
      </c>
      <c r="AC17" s="36">
        <v>22750</v>
      </c>
      <c r="AD17" s="36">
        <v>0</v>
      </c>
      <c r="AE17" s="36">
        <v>0</v>
      </c>
      <c r="AF17" s="36">
        <v>23255.03</v>
      </c>
      <c r="AG17" s="36">
        <v>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/>
      <c r="AN17" s="36">
        <v>46800</v>
      </c>
      <c r="AO17" s="36">
        <v>23400</v>
      </c>
      <c r="AP17" s="36">
        <v>0</v>
      </c>
      <c r="AQ17" s="36">
        <v>23400</v>
      </c>
      <c r="AR17" s="36">
        <v>22750</v>
      </c>
      <c r="AS17" s="36">
        <v>0</v>
      </c>
      <c r="AT17" s="36">
        <v>0</v>
      </c>
      <c r="AU17" s="36">
        <v>23400</v>
      </c>
      <c r="AV17" s="36">
        <v>46262.5</v>
      </c>
      <c r="AW17" s="36">
        <v>22750</v>
      </c>
      <c r="AX17" s="36">
        <v>22750</v>
      </c>
      <c r="AY17" s="36">
        <v>0</v>
      </c>
      <c r="AZ17" s="36">
        <v>0</v>
      </c>
      <c r="BA17" s="36">
        <v>22750</v>
      </c>
      <c r="BB17" s="36" t="s">
        <v>98</v>
      </c>
      <c r="BC17" s="36">
        <v>0</v>
      </c>
      <c r="BD17" s="36">
        <v>45362</v>
      </c>
      <c r="BE17" s="36">
        <v>0</v>
      </c>
      <c r="BF17" s="33" t="s">
        <v>94</v>
      </c>
      <c r="BG17" s="36">
        <v>23400</v>
      </c>
      <c r="BH17" s="36">
        <v>0</v>
      </c>
      <c r="BI17" s="36">
        <v>23400</v>
      </c>
      <c r="BJ17" s="36">
        <v>22750</v>
      </c>
      <c r="BK17" s="36">
        <v>0</v>
      </c>
      <c r="BL17" s="36">
        <v>0</v>
      </c>
      <c r="BM17" s="36">
        <v>23255.03</v>
      </c>
      <c r="BN17" s="33">
        <v>23400</v>
      </c>
      <c r="BO17" s="33">
        <v>0</v>
      </c>
      <c r="BP17" s="33">
        <v>45362</v>
      </c>
      <c r="BQ17" s="33">
        <v>0</v>
      </c>
      <c r="BR17" s="33">
        <v>92805.03</v>
      </c>
      <c r="BS17" s="33">
        <v>0</v>
      </c>
    </row>
    <row r="18" s="5" customFormat="1" spans="1:71">
      <c r="A18" s="41" t="s">
        <v>122</v>
      </c>
      <c r="B18" s="42" t="s">
        <v>128</v>
      </c>
      <c r="C18" s="41" t="s">
        <v>129</v>
      </c>
      <c r="D18" s="41"/>
      <c r="E18" s="41">
        <v>1</v>
      </c>
      <c r="F18" s="43">
        <v>46132</v>
      </c>
      <c r="G18" s="41" t="s">
        <v>94</v>
      </c>
      <c r="H18" s="35">
        <v>997058</v>
      </c>
      <c r="I18" s="33" t="s">
        <v>130</v>
      </c>
      <c r="J18" s="33">
        <v>150</v>
      </c>
      <c r="K18" s="33">
        <v>150</v>
      </c>
      <c r="L18" s="33" t="s">
        <v>131</v>
      </c>
      <c r="M18" s="36"/>
      <c r="N18" s="36"/>
      <c r="O18" s="36"/>
      <c r="P18" s="36"/>
      <c r="Q18" s="36"/>
      <c r="R18" s="36"/>
      <c r="S18" s="36"/>
      <c r="T18" s="35"/>
      <c r="U18" s="35"/>
      <c r="V18" s="35"/>
      <c r="W18" s="35"/>
      <c r="X18" s="35">
        <v>0</v>
      </c>
      <c r="Y18" s="36">
        <v>3550729.78</v>
      </c>
      <c r="Z18" s="36">
        <v>0</v>
      </c>
      <c r="AA18" s="36">
        <v>0</v>
      </c>
      <c r="AB18" s="36">
        <v>997058</v>
      </c>
      <c r="AC18" s="36">
        <v>1413056</v>
      </c>
      <c r="AD18" s="36">
        <v>402368</v>
      </c>
      <c r="AE18" s="36">
        <v>738247.78</v>
      </c>
      <c r="AF18" s="36">
        <v>0</v>
      </c>
      <c r="AG18" s="36">
        <v>0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/>
      <c r="AN18" s="36">
        <v>997058</v>
      </c>
      <c r="AO18" s="36">
        <v>0</v>
      </c>
      <c r="AP18" s="36">
        <v>0</v>
      </c>
      <c r="AQ18" s="36">
        <v>997058</v>
      </c>
      <c r="AR18" s="36">
        <v>1413056</v>
      </c>
      <c r="AS18" s="36">
        <v>402368</v>
      </c>
      <c r="AT18" s="36">
        <v>1184240</v>
      </c>
      <c r="AU18" s="36">
        <v>1013440</v>
      </c>
      <c r="AV18" s="36">
        <v>-770623.56</v>
      </c>
      <c r="AW18" s="36">
        <v>0</v>
      </c>
      <c r="AX18" s="36">
        <v>0</v>
      </c>
      <c r="AY18" s="36">
        <v>1623424</v>
      </c>
      <c r="AZ18" s="36">
        <v>1436410</v>
      </c>
      <c r="BA18" s="36">
        <v>821535</v>
      </c>
      <c r="BB18" s="36" t="s">
        <v>98</v>
      </c>
      <c r="BC18" s="36">
        <v>2050108.38</v>
      </c>
      <c r="BD18" s="36">
        <v>2050108.38</v>
      </c>
      <c r="BE18" s="36">
        <v>0</v>
      </c>
      <c r="BF18" s="33" t="s">
        <v>94</v>
      </c>
      <c r="BG18" s="36">
        <v>0</v>
      </c>
      <c r="BH18" s="36">
        <v>0</v>
      </c>
      <c r="BI18" s="36">
        <v>997058</v>
      </c>
      <c r="BJ18" s="36">
        <v>1413056</v>
      </c>
      <c r="BK18" s="36">
        <v>402368</v>
      </c>
      <c r="BL18" s="36">
        <v>738247.78</v>
      </c>
      <c r="BM18" s="36">
        <v>0</v>
      </c>
      <c r="BN18" s="33">
        <v>0</v>
      </c>
      <c r="BO18" s="33">
        <v>0</v>
      </c>
      <c r="BP18" s="33">
        <v>2050108.38</v>
      </c>
      <c r="BQ18" s="33">
        <v>2050108.38</v>
      </c>
      <c r="BR18" s="33">
        <v>3550729.78</v>
      </c>
      <c r="BS18" s="33">
        <v>0</v>
      </c>
    </row>
    <row r="19" s="5" customFormat="1" spans="1:71">
      <c r="A19" s="41" t="s">
        <v>122</v>
      </c>
      <c r="B19" s="42" t="s">
        <v>132</v>
      </c>
      <c r="C19" s="41" t="s">
        <v>133</v>
      </c>
      <c r="D19" s="41"/>
      <c r="E19" s="41">
        <v>2</v>
      </c>
      <c r="F19" s="43">
        <v>46142</v>
      </c>
      <c r="G19" s="41" t="s">
        <v>94</v>
      </c>
      <c r="H19" s="35">
        <v>12600</v>
      </c>
      <c r="I19" s="33" t="s">
        <v>130</v>
      </c>
      <c r="J19" s="33">
        <v>150</v>
      </c>
      <c r="K19" s="33">
        <v>150</v>
      </c>
      <c r="L19" s="33" t="s">
        <v>134</v>
      </c>
      <c r="M19" s="36"/>
      <c r="N19" s="36"/>
      <c r="O19" s="36"/>
      <c r="P19" s="36"/>
      <c r="Q19" s="36"/>
      <c r="R19" s="36"/>
      <c r="S19" s="36"/>
      <c r="T19" s="35"/>
      <c r="U19" s="35"/>
      <c r="V19" s="35"/>
      <c r="W19" s="35"/>
      <c r="X19" s="35">
        <v>0</v>
      </c>
      <c r="Y19" s="36">
        <v>32760</v>
      </c>
      <c r="Z19" s="36">
        <v>0</v>
      </c>
      <c r="AA19" s="36">
        <v>12600</v>
      </c>
      <c r="AB19" s="36">
        <v>0</v>
      </c>
      <c r="AC19" s="36">
        <v>20160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/>
      <c r="AN19" s="36">
        <v>12600</v>
      </c>
      <c r="AO19" s="36">
        <v>0</v>
      </c>
      <c r="AP19" s="36">
        <v>12600</v>
      </c>
      <c r="AQ19" s="36">
        <v>0</v>
      </c>
      <c r="AR19" s="36">
        <v>20160</v>
      </c>
      <c r="AS19" s="36">
        <v>0</v>
      </c>
      <c r="AT19" s="36">
        <v>0</v>
      </c>
      <c r="AU19" s="36">
        <v>0</v>
      </c>
      <c r="AV19" s="36">
        <v>101389.51</v>
      </c>
      <c r="AW19" s="36">
        <v>0</v>
      </c>
      <c r="AX19" s="36">
        <v>18900</v>
      </c>
      <c r="AY19" s="36">
        <v>10080</v>
      </c>
      <c r="AZ19" s="36">
        <v>0</v>
      </c>
      <c r="BA19" s="36">
        <v>0</v>
      </c>
      <c r="BB19" s="36" t="s">
        <v>98</v>
      </c>
      <c r="BC19" s="36">
        <v>0</v>
      </c>
      <c r="BD19" s="36">
        <v>0</v>
      </c>
      <c r="BE19" s="36">
        <v>12600</v>
      </c>
      <c r="BF19" s="33" t="s">
        <v>94</v>
      </c>
      <c r="BG19" s="36">
        <v>0</v>
      </c>
      <c r="BH19" s="36">
        <v>12600</v>
      </c>
      <c r="BI19" s="36">
        <v>0</v>
      </c>
      <c r="BJ19" s="36">
        <v>20160</v>
      </c>
      <c r="BK19" s="36">
        <v>0</v>
      </c>
      <c r="BL19" s="36">
        <v>0</v>
      </c>
      <c r="BM19" s="36">
        <v>0</v>
      </c>
      <c r="BN19" s="33">
        <v>0</v>
      </c>
      <c r="BO19" s="33">
        <v>12600</v>
      </c>
      <c r="BP19" s="33">
        <v>0</v>
      </c>
      <c r="BQ19" s="33">
        <v>0</v>
      </c>
      <c r="BR19" s="33">
        <v>32760</v>
      </c>
      <c r="BS19" s="33">
        <v>12600</v>
      </c>
    </row>
    <row r="20" s="5" customFormat="1" spans="1:71">
      <c r="A20" s="41" t="s">
        <v>122</v>
      </c>
      <c r="B20" s="42" t="s">
        <v>135</v>
      </c>
      <c r="C20" s="41" t="s">
        <v>136</v>
      </c>
      <c r="D20" s="41"/>
      <c r="E20" s="41">
        <v>2</v>
      </c>
      <c r="F20" s="43">
        <v>46142</v>
      </c>
      <c r="G20" s="41" t="s">
        <v>94</v>
      </c>
      <c r="H20" s="35">
        <v>221301</v>
      </c>
      <c r="I20" s="33" t="s">
        <v>105</v>
      </c>
      <c r="J20" s="33">
        <v>120</v>
      </c>
      <c r="K20" s="33">
        <v>150</v>
      </c>
      <c r="L20" s="33" t="s">
        <v>112</v>
      </c>
      <c r="M20" s="36"/>
      <c r="N20" s="36"/>
      <c r="O20" s="36"/>
      <c r="P20" s="36"/>
      <c r="Q20" s="36"/>
      <c r="R20" s="36"/>
      <c r="S20" s="36"/>
      <c r="T20" s="35"/>
      <c r="U20" s="35"/>
      <c r="V20" s="35"/>
      <c r="W20" s="35"/>
      <c r="X20" s="35">
        <v>0</v>
      </c>
      <c r="Y20" s="36">
        <v>645762.23</v>
      </c>
      <c r="Z20" s="36">
        <v>30222</v>
      </c>
      <c r="AA20" s="36">
        <v>191079</v>
      </c>
      <c r="AB20" s="36">
        <v>0</v>
      </c>
      <c r="AC20" s="36">
        <v>128148</v>
      </c>
      <c r="AD20" s="36">
        <v>101702</v>
      </c>
      <c r="AE20" s="36">
        <v>99652</v>
      </c>
      <c r="AF20" s="36">
        <v>94959.23</v>
      </c>
      <c r="AG20" s="36">
        <v>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/>
      <c r="AN20" s="36">
        <v>221301</v>
      </c>
      <c r="AO20" s="36">
        <v>30222</v>
      </c>
      <c r="AP20" s="36">
        <v>191079</v>
      </c>
      <c r="AQ20" s="36">
        <v>0</v>
      </c>
      <c r="AR20" s="36">
        <v>128148</v>
      </c>
      <c r="AS20" s="36">
        <v>101702</v>
      </c>
      <c r="AT20" s="36">
        <v>99652</v>
      </c>
      <c r="AU20" s="36">
        <v>95138</v>
      </c>
      <c r="AV20" s="36">
        <v>30368</v>
      </c>
      <c r="AW20" s="36">
        <v>122638</v>
      </c>
      <c r="AX20" s="36">
        <v>32088</v>
      </c>
      <c r="AY20" s="36">
        <v>120748</v>
      </c>
      <c r="AZ20" s="36">
        <v>126424</v>
      </c>
      <c r="BA20" s="36">
        <v>63192</v>
      </c>
      <c r="BB20" s="36" t="s">
        <v>98</v>
      </c>
      <c r="BC20" s="36">
        <v>26000</v>
      </c>
      <c r="BD20" s="36">
        <v>152624</v>
      </c>
      <c r="BE20" s="36">
        <v>106819</v>
      </c>
      <c r="BF20" s="33" t="s">
        <v>94</v>
      </c>
      <c r="BG20" s="36">
        <v>30222</v>
      </c>
      <c r="BH20" s="36">
        <v>191079</v>
      </c>
      <c r="BI20" s="36">
        <v>0</v>
      </c>
      <c r="BJ20" s="36">
        <v>128148</v>
      </c>
      <c r="BK20" s="36">
        <v>101702</v>
      </c>
      <c r="BL20" s="36">
        <v>99652</v>
      </c>
      <c r="BM20" s="36">
        <v>94959.23</v>
      </c>
      <c r="BN20" s="33">
        <v>30222</v>
      </c>
      <c r="BO20" s="33">
        <v>191079</v>
      </c>
      <c r="BP20" s="33">
        <v>152624</v>
      </c>
      <c r="BQ20" s="33">
        <v>26000</v>
      </c>
      <c r="BR20" s="33">
        <v>645762.23</v>
      </c>
      <c r="BS20" s="33">
        <v>106819</v>
      </c>
    </row>
    <row r="21" s="5" customFormat="1" spans="1:71">
      <c r="A21" s="41" t="s">
        <v>122</v>
      </c>
      <c r="B21" s="42" t="s">
        <v>137</v>
      </c>
      <c r="C21" s="41" t="s">
        <v>138</v>
      </c>
      <c r="D21" s="41"/>
      <c r="E21" s="41">
        <v>2</v>
      </c>
      <c r="F21" s="43">
        <v>46142</v>
      </c>
      <c r="G21" s="41" t="s">
        <v>94</v>
      </c>
      <c r="H21" s="35">
        <v>0</v>
      </c>
      <c r="I21" s="33" t="s">
        <v>127</v>
      </c>
      <c r="J21" s="33">
        <v>90</v>
      </c>
      <c r="K21" s="33">
        <v>120</v>
      </c>
      <c r="L21" s="33" t="s">
        <v>112</v>
      </c>
      <c r="M21" s="36"/>
      <c r="N21" s="36"/>
      <c r="O21" s="36"/>
      <c r="P21" s="36"/>
      <c r="Q21" s="36"/>
      <c r="R21" s="36"/>
      <c r="S21" s="36"/>
      <c r="T21" s="35"/>
      <c r="U21" s="35"/>
      <c r="V21" s="35"/>
      <c r="W21" s="35"/>
      <c r="X21" s="35">
        <v>0</v>
      </c>
      <c r="Y21" s="36">
        <v>230023.47</v>
      </c>
      <c r="Z21" s="36">
        <v>0</v>
      </c>
      <c r="AA21" s="36">
        <v>0</v>
      </c>
      <c r="AB21" s="36">
        <v>0</v>
      </c>
      <c r="AC21" s="36">
        <v>35510</v>
      </c>
      <c r="AD21" s="36">
        <v>89040</v>
      </c>
      <c r="AE21" s="36">
        <v>-4000</v>
      </c>
      <c r="AF21" s="36">
        <v>109473.47</v>
      </c>
      <c r="AG21" s="36">
        <v>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/>
      <c r="AN21" s="36">
        <v>0</v>
      </c>
      <c r="AO21" s="36">
        <v>0</v>
      </c>
      <c r="AP21" s="36">
        <v>0</v>
      </c>
      <c r="AQ21" s="36">
        <v>0</v>
      </c>
      <c r="AR21" s="36">
        <v>35510</v>
      </c>
      <c r="AS21" s="36">
        <v>89040</v>
      </c>
      <c r="AT21" s="36">
        <v>-4000</v>
      </c>
      <c r="AU21" s="36">
        <v>110240</v>
      </c>
      <c r="AV21" s="36">
        <v>-302270</v>
      </c>
      <c r="AW21" s="36">
        <v>441640</v>
      </c>
      <c r="AX21" s="36">
        <v>0</v>
      </c>
      <c r="AY21" s="36">
        <v>108900</v>
      </c>
      <c r="AZ21" s="36">
        <v>215600</v>
      </c>
      <c r="BA21" s="36">
        <v>110550</v>
      </c>
      <c r="BB21" s="36" t="s">
        <v>98</v>
      </c>
      <c r="BC21" s="36">
        <v>123000</v>
      </c>
      <c r="BD21" s="36">
        <v>423000</v>
      </c>
      <c r="BE21" s="36">
        <v>0</v>
      </c>
      <c r="BF21" s="33" t="s">
        <v>94</v>
      </c>
      <c r="BG21" s="36">
        <v>0</v>
      </c>
      <c r="BH21" s="36">
        <v>0</v>
      </c>
      <c r="BI21" s="36">
        <v>0</v>
      </c>
      <c r="BJ21" s="36">
        <v>35510</v>
      </c>
      <c r="BK21" s="36">
        <v>89040</v>
      </c>
      <c r="BL21" s="36">
        <v>-4000</v>
      </c>
      <c r="BM21" s="36">
        <v>109473.47</v>
      </c>
      <c r="BN21" s="33">
        <v>0</v>
      </c>
      <c r="BO21" s="33">
        <v>0</v>
      </c>
      <c r="BP21" s="33">
        <v>423000</v>
      </c>
      <c r="BQ21" s="33">
        <v>123000</v>
      </c>
      <c r="BR21" s="33">
        <v>230023.47</v>
      </c>
      <c r="BS21" s="33">
        <v>0</v>
      </c>
    </row>
    <row r="22" s="7" customFormat="1" spans="1:71">
      <c r="A22" s="33" t="s">
        <v>91</v>
      </c>
      <c r="B22" s="33" t="s">
        <v>139</v>
      </c>
      <c r="C22" s="33" t="s">
        <v>140</v>
      </c>
      <c r="D22" s="33" t="s">
        <v>79</v>
      </c>
      <c r="E22" s="33">
        <v>0</v>
      </c>
      <c r="F22" s="34">
        <v>46142</v>
      </c>
      <c r="G22" s="33" t="s">
        <v>141</v>
      </c>
      <c r="H22" s="35">
        <v>0</v>
      </c>
      <c r="I22" s="33" t="s">
        <v>142</v>
      </c>
      <c r="J22" s="33" t="s">
        <v>96</v>
      </c>
      <c r="K22" s="33" t="s">
        <v>96</v>
      </c>
      <c r="L22" s="33" t="s">
        <v>88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5">
        <v>0</v>
      </c>
      <c r="Y22" s="36">
        <v>-260</v>
      </c>
      <c r="Z22" s="36">
        <v>-260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/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 t="s">
        <v>98</v>
      </c>
      <c r="BC22" s="36">
        <v>0</v>
      </c>
      <c r="BD22" s="36">
        <v>0</v>
      </c>
      <c r="BE22" s="36">
        <v>0</v>
      </c>
      <c r="BF22" s="33" t="s">
        <v>141</v>
      </c>
      <c r="BG22" s="36">
        <v>-260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3">
        <v>0</v>
      </c>
      <c r="BO22" s="33">
        <v>0</v>
      </c>
      <c r="BP22" s="33">
        <v>0</v>
      </c>
      <c r="BQ22" s="33">
        <v>0</v>
      </c>
      <c r="BR22" s="33">
        <v>-260</v>
      </c>
      <c r="BS22" s="33">
        <v>0</v>
      </c>
    </row>
    <row r="23" s="5" customFormat="1" spans="1:71">
      <c r="A23" s="41" t="s">
        <v>122</v>
      </c>
      <c r="B23" s="42" t="s">
        <v>143</v>
      </c>
      <c r="C23" s="41" t="s">
        <v>144</v>
      </c>
      <c r="D23" s="41"/>
      <c r="E23" s="41">
        <v>2</v>
      </c>
      <c r="F23" s="43">
        <v>46142</v>
      </c>
      <c r="G23" s="41" t="s">
        <v>94</v>
      </c>
      <c r="H23" s="35">
        <v>12164.4</v>
      </c>
      <c r="I23" s="33" t="s">
        <v>101</v>
      </c>
      <c r="J23" s="33">
        <v>30</v>
      </c>
      <c r="K23" s="33">
        <v>60</v>
      </c>
      <c r="L23" s="33" t="s">
        <v>88</v>
      </c>
      <c r="M23" s="36"/>
      <c r="N23" s="36"/>
      <c r="O23" s="36"/>
      <c r="P23" s="36"/>
      <c r="Q23" s="36"/>
      <c r="R23" s="36"/>
      <c r="S23" s="36"/>
      <c r="T23" s="35"/>
      <c r="U23" s="35"/>
      <c r="V23" s="35"/>
      <c r="W23" s="35"/>
      <c r="X23" s="35">
        <v>0</v>
      </c>
      <c r="Y23" s="36">
        <v>48136.65</v>
      </c>
      <c r="Z23" s="36">
        <v>0</v>
      </c>
      <c r="AA23" s="36">
        <v>0</v>
      </c>
      <c r="AB23" s="36">
        <v>12164.4</v>
      </c>
      <c r="AC23" s="36">
        <v>0</v>
      </c>
      <c r="AD23" s="36">
        <v>12164.4</v>
      </c>
      <c r="AE23" s="36">
        <v>23807.85</v>
      </c>
      <c r="AF23" s="36">
        <v>0</v>
      </c>
      <c r="AG23" s="36">
        <v>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/>
      <c r="AN23" s="36">
        <v>12164.4</v>
      </c>
      <c r="AO23" s="36">
        <v>0</v>
      </c>
      <c r="AP23" s="36">
        <v>0</v>
      </c>
      <c r="AQ23" s="36">
        <v>12164.4</v>
      </c>
      <c r="AR23" s="36">
        <v>0</v>
      </c>
      <c r="AS23" s="36">
        <v>12164.4</v>
      </c>
      <c r="AT23" s="36">
        <v>24328.8</v>
      </c>
      <c r="AU23" s="36">
        <v>23936.4</v>
      </c>
      <c r="AV23" s="36">
        <v>24328.8</v>
      </c>
      <c r="AW23" s="36">
        <v>24328.8</v>
      </c>
      <c r="AX23" s="36">
        <v>0</v>
      </c>
      <c r="AY23" s="36">
        <v>392.4</v>
      </c>
      <c r="AZ23" s="36">
        <v>12164.4</v>
      </c>
      <c r="BA23" s="36">
        <v>0</v>
      </c>
      <c r="BB23" s="36" t="s">
        <v>98</v>
      </c>
      <c r="BC23" s="36">
        <v>24457.35</v>
      </c>
      <c r="BD23" s="36">
        <v>48786.15</v>
      </c>
      <c r="BE23" s="36">
        <v>23936.4</v>
      </c>
      <c r="BF23" s="33" t="s">
        <v>94</v>
      </c>
      <c r="BG23" s="36">
        <v>0</v>
      </c>
      <c r="BH23" s="36">
        <v>0</v>
      </c>
      <c r="BI23" s="36">
        <v>12164.4</v>
      </c>
      <c r="BJ23" s="36">
        <v>0</v>
      </c>
      <c r="BK23" s="36">
        <v>12164.4</v>
      </c>
      <c r="BL23" s="36">
        <v>23807.85</v>
      </c>
      <c r="BM23" s="36">
        <v>0</v>
      </c>
      <c r="BN23" s="33">
        <v>0</v>
      </c>
      <c r="BO23" s="33">
        <v>0</v>
      </c>
      <c r="BP23" s="33">
        <v>48786.15</v>
      </c>
      <c r="BQ23" s="33">
        <v>24457.35</v>
      </c>
      <c r="BR23" s="33">
        <v>48136.65</v>
      </c>
      <c r="BS23" s="33">
        <v>23936.4</v>
      </c>
    </row>
    <row r="24" s="5" customFormat="1" spans="1:71">
      <c r="A24" s="41" t="s">
        <v>122</v>
      </c>
      <c r="B24" s="42" t="s">
        <v>145</v>
      </c>
      <c r="C24" s="41" t="s">
        <v>146</v>
      </c>
      <c r="D24" s="41"/>
      <c r="E24" s="41">
        <v>2</v>
      </c>
      <c r="F24" s="43">
        <v>46142</v>
      </c>
      <c r="G24" s="41" t="s">
        <v>94</v>
      </c>
      <c r="H24" s="35">
        <v>110920</v>
      </c>
      <c r="I24" s="33" t="s">
        <v>101</v>
      </c>
      <c r="J24" s="33">
        <v>30</v>
      </c>
      <c r="K24" s="33">
        <v>150</v>
      </c>
      <c r="L24" s="33" t="s">
        <v>112</v>
      </c>
      <c r="M24" s="36"/>
      <c r="N24" s="36"/>
      <c r="O24" s="36"/>
      <c r="P24" s="36"/>
      <c r="Q24" s="36"/>
      <c r="R24" s="36"/>
      <c r="S24" s="36"/>
      <c r="T24" s="35"/>
      <c r="U24" s="35"/>
      <c r="V24" s="35"/>
      <c r="W24" s="35"/>
      <c r="X24" s="35">
        <v>0</v>
      </c>
      <c r="Y24" s="36">
        <v>302695.93</v>
      </c>
      <c r="Z24" s="36">
        <v>15980</v>
      </c>
      <c r="AA24" s="36">
        <v>47940</v>
      </c>
      <c r="AB24" s="36">
        <v>47000</v>
      </c>
      <c r="AC24" s="36">
        <v>32430</v>
      </c>
      <c r="AD24" s="36">
        <v>31960</v>
      </c>
      <c r="AE24" s="36">
        <v>15980</v>
      </c>
      <c r="AF24" s="36">
        <v>46060</v>
      </c>
      <c r="AG24" s="36">
        <v>65345.93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/>
      <c r="AN24" s="36">
        <v>110920</v>
      </c>
      <c r="AO24" s="36">
        <v>15980</v>
      </c>
      <c r="AP24" s="36">
        <v>47940</v>
      </c>
      <c r="AQ24" s="36">
        <v>47000</v>
      </c>
      <c r="AR24" s="36">
        <v>32430</v>
      </c>
      <c r="AS24" s="36">
        <v>31960</v>
      </c>
      <c r="AT24" s="36">
        <v>15980</v>
      </c>
      <c r="AU24" s="36">
        <v>46060</v>
      </c>
      <c r="AV24" s="36">
        <v>66460</v>
      </c>
      <c r="AW24" s="36">
        <v>50500</v>
      </c>
      <c r="AX24" s="36">
        <v>68000</v>
      </c>
      <c r="AY24" s="36">
        <v>0</v>
      </c>
      <c r="AZ24" s="36">
        <v>84000</v>
      </c>
      <c r="BA24" s="36">
        <v>0</v>
      </c>
      <c r="BB24" s="36" t="s">
        <v>98</v>
      </c>
      <c r="BC24" s="36">
        <v>70000</v>
      </c>
      <c r="BD24" s="36">
        <v>120000</v>
      </c>
      <c r="BE24" s="36">
        <v>47470</v>
      </c>
      <c r="BF24" s="33" t="s">
        <v>94</v>
      </c>
      <c r="BG24" s="36">
        <v>15980</v>
      </c>
      <c r="BH24" s="36">
        <v>47940</v>
      </c>
      <c r="BI24" s="36">
        <v>47000</v>
      </c>
      <c r="BJ24" s="36">
        <v>32430</v>
      </c>
      <c r="BK24" s="36">
        <v>31960</v>
      </c>
      <c r="BL24" s="36">
        <v>15980</v>
      </c>
      <c r="BM24" s="36">
        <v>111405.93</v>
      </c>
      <c r="BN24" s="33">
        <v>15980</v>
      </c>
      <c r="BO24" s="33">
        <v>47940</v>
      </c>
      <c r="BP24" s="33">
        <v>120000</v>
      </c>
      <c r="BQ24" s="33">
        <v>70000</v>
      </c>
      <c r="BR24" s="33">
        <v>302695.93</v>
      </c>
      <c r="BS24" s="33">
        <v>47470</v>
      </c>
    </row>
    <row r="25" s="5" customFormat="1" spans="1:71">
      <c r="A25" s="41" t="s">
        <v>122</v>
      </c>
      <c r="B25" s="42" t="s">
        <v>147</v>
      </c>
      <c r="C25" s="41" t="s">
        <v>148</v>
      </c>
      <c r="D25" s="41"/>
      <c r="E25" s="41">
        <v>2</v>
      </c>
      <c r="F25" s="43">
        <v>46142</v>
      </c>
      <c r="G25" s="41" t="s">
        <v>94</v>
      </c>
      <c r="H25" s="35">
        <v>12873.6</v>
      </c>
      <c r="I25" s="33" t="s">
        <v>105</v>
      </c>
      <c r="J25" s="33">
        <v>60</v>
      </c>
      <c r="K25" s="33">
        <v>90</v>
      </c>
      <c r="L25" s="33" t="s">
        <v>112</v>
      </c>
      <c r="M25" s="36"/>
      <c r="N25" s="36"/>
      <c r="O25" s="36"/>
      <c r="P25" s="36"/>
      <c r="Q25" s="36"/>
      <c r="R25" s="36"/>
      <c r="S25" s="36"/>
      <c r="T25" s="35"/>
      <c r="U25" s="35"/>
      <c r="V25" s="35"/>
      <c r="W25" s="35"/>
      <c r="X25" s="35">
        <v>0</v>
      </c>
      <c r="Y25" s="36">
        <v>12873.6</v>
      </c>
      <c r="Z25" s="36">
        <v>0</v>
      </c>
      <c r="AA25" s="36">
        <v>12873.6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/>
      <c r="AN25" s="36">
        <v>12873.6</v>
      </c>
      <c r="AO25" s="36">
        <v>0</v>
      </c>
      <c r="AP25" s="36">
        <v>12873.6</v>
      </c>
      <c r="AQ25" s="36">
        <v>0</v>
      </c>
      <c r="AR25" s="36">
        <v>8716.5</v>
      </c>
      <c r="AS25" s="36">
        <v>3311</v>
      </c>
      <c r="AT25" s="36">
        <v>0</v>
      </c>
      <c r="AU25" s="36">
        <v>12963</v>
      </c>
      <c r="AV25" s="36">
        <v>8522.8</v>
      </c>
      <c r="AW25" s="36">
        <v>12918.3</v>
      </c>
      <c r="AX25" s="36">
        <v>0</v>
      </c>
      <c r="AY25" s="36">
        <v>0</v>
      </c>
      <c r="AZ25" s="36">
        <v>0</v>
      </c>
      <c r="BA25" s="36">
        <v>0</v>
      </c>
      <c r="BB25" s="36" t="s">
        <v>98</v>
      </c>
      <c r="BC25" s="36">
        <v>8716.5</v>
      </c>
      <c r="BD25" s="36">
        <v>12027.5</v>
      </c>
      <c r="BE25" s="36">
        <v>12769.3</v>
      </c>
      <c r="BF25" s="33" t="s">
        <v>94</v>
      </c>
      <c r="BG25" s="36">
        <v>0</v>
      </c>
      <c r="BH25" s="36">
        <v>12873.6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3">
        <v>0</v>
      </c>
      <c r="BO25" s="33">
        <v>12873.6</v>
      </c>
      <c r="BP25" s="33">
        <v>12027.5</v>
      </c>
      <c r="BQ25" s="33">
        <v>8716.5</v>
      </c>
      <c r="BR25" s="33">
        <v>12873.6</v>
      </c>
      <c r="BS25" s="33">
        <v>12769.3</v>
      </c>
    </row>
    <row r="26" s="5" customFormat="1" spans="1:71">
      <c r="A26" s="41" t="s">
        <v>122</v>
      </c>
      <c r="B26" s="42" t="s">
        <v>149</v>
      </c>
      <c r="C26" s="41" t="s">
        <v>150</v>
      </c>
      <c r="D26" s="41"/>
      <c r="E26" s="41">
        <v>2</v>
      </c>
      <c r="F26" s="43">
        <v>46132</v>
      </c>
      <c r="G26" s="41" t="s">
        <v>94</v>
      </c>
      <c r="H26" s="35">
        <v>21909</v>
      </c>
      <c r="I26" s="33" t="s">
        <v>101</v>
      </c>
      <c r="J26" s="33">
        <v>30</v>
      </c>
      <c r="K26" s="33">
        <v>120</v>
      </c>
      <c r="L26" s="44" t="s">
        <v>112</v>
      </c>
      <c r="M26" s="36"/>
      <c r="N26" s="36"/>
      <c r="O26" s="36"/>
      <c r="P26" s="36"/>
      <c r="Q26" s="36"/>
      <c r="R26" s="36"/>
      <c r="S26" s="36"/>
      <c r="T26" s="35"/>
      <c r="U26" s="35"/>
      <c r="V26" s="35"/>
      <c r="W26" s="35"/>
      <c r="X26" s="35">
        <v>0</v>
      </c>
      <c r="Y26" s="36">
        <v>153070.96</v>
      </c>
      <c r="Z26" s="36">
        <v>0</v>
      </c>
      <c r="AA26" s="36">
        <v>21909</v>
      </c>
      <c r="AB26" s="36">
        <v>0</v>
      </c>
      <c r="AC26" s="36">
        <v>21909</v>
      </c>
      <c r="AD26" s="36">
        <v>21909</v>
      </c>
      <c r="AE26" s="36">
        <v>43818</v>
      </c>
      <c r="AF26" s="36">
        <v>43525.96</v>
      </c>
      <c r="AG26" s="36">
        <v>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/>
      <c r="AN26" s="36">
        <v>21909</v>
      </c>
      <c r="AO26" s="36">
        <v>0</v>
      </c>
      <c r="AP26" s="36">
        <v>21909</v>
      </c>
      <c r="AQ26" s="36">
        <v>0</v>
      </c>
      <c r="AR26" s="36">
        <v>21909</v>
      </c>
      <c r="AS26" s="36">
        <v>21909</v>
      </c>
      <c r="AT26" s="36">
        <v>43818</v>
      </c>
      <c r="AU26" s="36">
        <v>43818</v>
      </c>
      <c r="AV26" s="36">
        <v>43818</v>
      </c>
      <c r="AW26" s="36">
        <v>21909</v>
      </c>
      <c r="AX26" s="36">
        <v>21909</v>
      </c>
      <c r="AY26" s="36">
        <v>0</v>
      </c>
      <c r="AZ26" s="36">
        <v>43818</v>
      </c>
      <c r="BA26" s="36">
        <v>0</v>
      </c>
      <c r="BB26" s="36" t="s">
        <v>98</v>
      </c>
      <c r="BC26" s="36">
        <v>36524.34</v>
      </c>
      <c r="BD26" s="36">
        <v>86524.34</v>
      </c>
      <c r="BE26" s="36">
        <v>21909</v>
      </c>
      <c r="BF26" s="33" t="s">
        <v>94</v>
      </c>
      <c r="BG26" s="36">
        <v>0</v>
      </c>
      <c r="BH26" s="36">
        <v>21909</v>
      </c>
      <c r="BI26" s="36">
        <v>0</v>
      </c>
      <c r="BJ26" s="36">
        <v>21909</v>
      </c>
      <c r="BK26" s="36">
        <v>21909</v>
      </c>
      <c r="BL26" s="36">
        <v>43818</v>
      </c>
      <c r="BM26" s="36">
        <v>43525.96</v>
      </c>
      <c r="BN26" s="33">
        <v>0</v>
      </c>
      <c r="BO26" s="33">
        <v>21909</v>
      </c>
      <c r="BP26" s="33">
        <v>86524.34</v>
      </c>
      <c r="BQ26" s="33">
        <v>36524.34</v>
      </c>
      <c r="BR26" s="33">
        <v>153070.96</v>
      </c>
      <c r="BS26" s="33">
        <v>21909</v>
      </c>
    </row>
    <row r="27" s="5" customFormat="1" spans="1:71">
      <c r="A27" s="33" t="s">
        <v>84</v>
      </c>
      <c r="B27" s="33" t="s">
        <v>151</v>
      </c>
      <c r="C27" s="33" t="s">
        <v>152</v>
      </c>
      <c r="D27" s="33"/>
      <c r="E27" s="33">
        <v>2</v>
      </c>
      <c r="F27" s="34">
        <v>46142</v>
      </c>
      <c r="G27" s="33" t="s">
        <v>94</v>
      </c>
      <c r="H27" s="35">
        <v>0</v>
      </c>
      <c r="I27" s="33" t="s">
        <v>153</v>
      </c>
      <c r="J27" s="33">
        <v>30</v>
      </c>
      <c r="K27" s="33">
        <v>30</v>
      </c>
      <c r="L27" s="33" t="s">
        <v>88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5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/>
      <c r="AN27" s="36">
        <v>0</v>
      </c>
      <c r="AO27" s="36">
        <v>0</v>
      </c>
      <c r="AP27" s="36">
        <v>0</v>
      </c>
      <c r="AQ27" s="36">
        <v>0</v>
      </c>
      <c r="AR27" s="36">
        <v>7261.2</v>
      </c>
      <c r="AS27" s="36">
        <v>9410</v>
      </c>
      <c r="AT27" s="36">
        <v>0</v>
      </c>
      <c r="AU27" s="36">
        <v>0</v>
      </c>
      <c r="AV27" s="36">
        <v>0</v>
      </c>
      <c r="AW27" s="36">
        <v>0</v>
      </c>
      <c r="AX27" s="36">
        <v>3738.6</v>
      </c>
      <c r="AY27" s="36">
        <v>0</v>
      </c>
      <c r="AZ27" s="36">
        <v>9960</v>
      </c>
      <c r="BA27" s="36">
        <v>0</v>
      </c>
      <c r="BB27" s="36" t="s">
        <v>98</v>
      </c>
      <c r="BC27" s="36">
        <v>16671.2</v>
      </c>
      <c r="BD27" s="36">
        <v>16671.2</v>
      </c>
      <c r="BE27" s="36">
        <v>0</v>
      </c>
      <c r="BF27" s="33" t="s">
        <v>94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3">
        <v>0</v>
      </c>
      <c r="BO27" s="33">
        <v>0</v>
      </c>
      <c r="BP27" s="33">
        <v>16671.2</v>
      </c>
      <c r="BQ27" s="33">
        <v>16671.2</v>
      </c>
      <c r="BR27" s="33">
        <v>0</v>
      </c>
      <c r="BS27" s="33">
        <v>0</v>
      </c>
    </row>
    <row r="28" s="5" customFormat="1" spans="1:71">
      <c r="A28" s="41" t="s">
        <v>84</v>
      </c>
      <c r="B28" s="42" t="s">
        <v>154</v>
      </c>
      <c r="C28" s="41" t="s">
        <v>155</v>
      </c>
      <c r="D28" s="41"/>
      <c r="E28" s="45">
        <v>2</v>
      </c>
      <c r="F28" s="43">
        <v>46142</v>
      </c>
      <c r="G28" s="41" t="s">
        <v>94</v>
      </c>
      <c r="H28" s="35">
        <v>4858230</v>
      </c>
      <c r="I28" s="33" t="s">
        <v>101</v>
      </c>
      <c r="J28" s="33">
        <v>120</v>
      </c>
      <c r="K28" s="33">
        <v>120</v>
      </c>
      <c r="L28" s="33" t="s">
        <v>112</v>
      </c>
      <c r="M28" s="36"/>
      <c r="N28" s="36"/>
      <c r="O28" s="36"/>
      <c r="P28" s="36"/>
      <c r="Q28" s="36"/>
      <c r="R28" s="36"/>
      <c r="S28" s="36"/>
      <c r="T28" s="35"/>
      <c r="U28" s="35"/>
      <c r="V28" s="35"/>
      <c r="W28" s="35"/>
      <c r="X28" s="35">
        <v>0</v>
      </c>
      <c r="Y28" s="36">
        <v>11638944.6</v>
      </c>
      <c r="Z28" s="36">
        <v>1781875</v>
      </c>
      <c r="AA28" s="36">
        <v>531750</v>
      </c>
      <c r="AB28" s="36">
        <v>2544605</v>
      </c>
      <c r="AC28" s="36">
        <v>2401250</v>
      </c>
      <c r="AD28" s="36">
        <v>1900700</v>
      </c>
      <c r="AE28" s="36">
        <v>2478764.6</v>
      </c>
      <c r="AF28" s="36">
        <v>0</v>
      </c>
      <c r="AG28" s="36">
        <v>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/>
      <c r="AN28" s="36">
        <v>4858230</v>
      </c>
      <c r="AO28" s="36">
        <v>1781875</v>
      </c>
      <c r="AP28" s="36">
        <v>531750</v>
      </c>
      <c r="AQ28" s="36">
        <v>2544605</v>
      </c>
      <c r="AR28" s="36">
        <v>2401250</v>
      </c>
      <c r="AS28" s="36">
        <v>1900700</v>
      </c>
      <c r="AT28" s="36">
        <v>2486300</v>
      </c>
      <c r="AU28" s="36">
        <v>1439750</v>
      </c>
      <c r="AV28" s="36">
        <v>1838900</v>
      </c>
      <c r="AW28" s="36">
        <v>1729245</v>
      </c>
      <c r="AX28" s="36">
        <v>2160625</v>
      </c>
      <c r="AY28" s="36">
        <v>1911375</v>
      </c>
      <c r="AZ28" s="36">
        <v>2127200</v>
      </c>
      <c r="BA28" s="36">
        <v>2956800</v>
      </c>
      <c r="BB28" s="36" t="s">
        <v>98</v>
      </c>
      <c r="BC28" s="36">
        <v>1140000</v>
      </c>
      <c r="BD28" s="36">
        <v>6670000</v>
      </c>
      <c r="BE28" s="36">
        <v>704750</v>
      </c>
      <c r="BF28" s="33" t="s">
        <v>94</v>
      </c>
      <c r="BG28" s="36">
        <v>1781875</v>
      </c>
      <c r="BH28" s="36">
        <v>531750</v>
      </c>
      <c r="BI28" s="36">
        <v>2544605</v>
      </c>
      <c r="BJ28" s="36">
        <v>2401250</v>
      </c>
      <c r="BK28" s="36">
        <v>1900700</v>
      </c>
      <c r="BL28" s="36">
        <v>2478764.6</v>
      </c>
      <c r="BM28" s="36">
        <v>0</v>
      </c>
      <c r="BN28" s="33">
        <v>1781875</v>
      </c>
      <c r="BO28" s="33">
        <v>531750</v>
      </c>
      <c r="BP28" s="33">
        <v>6670000</v>
      </c>
      <c r="BQ28" s="33">
        <v>1140000</v>
      </c>
      <c r="BR28" s="33">
        <v>11638944.6</v>
      </c>
      <c r="BS28" s="33">
        <v>704750</v>
      </c>
    </row>
    <row r="29" s="5" customFormat="1" spans="1:71">
      <c r="A29" s="41" t="s">
        <v>84</v>
      </c>
      <c r="B29" s="42" t="s">
        <v>156</v>
      </c>
      <c r="C29" s="41" t="s">
        <v>157</v>
      </c>
      <c r="D29" s="41"/>
      <c r="E29" s="45">
        <v>2</v>
      </c>
      <c r="F29" s="43">
        <v>46142</v>
      </c>
      <c r="G29" s="41" t="s">
        <v>94</v>
      </c>
      <c r="H29" s="35">
        <v>583110</v>
      </c>
      <c r="I29" s="33" t="s">
        <v>101</v>
      </c>
      <c r="J29" s="33">
        <v>150</v>
      </c>
      <c r="K29" s="33">
        <v>150</v>
      </c>
      <c r="L29" s="33" t="s">
        <v>112</v>
      </c>
      <c r="M29" s="36"/>
      <c r="N29" s="36"/>
      <c r="O29" s="36"/>
      <c r="P29" s="36"/>
      <c r="Q29" s="36"/>
      <c r="R29" s="36"/>
      <c r="S29" s="36"/>
      <c r="T29" s="35"/>
      <c r="U29" s="35"/>
      <c r="V29" s="35"/>
      <c r="W29" s="35"/>
      <c r="X29" s="35">
        <v>0</v>
      </c>
      <c r="Y29" s="36">
        <v>1809603.14</v>
      </c>
      <c r="Z29" s="36">
        <v>276210</v>
      </c>
      <c r="AA29" s="36">
        <v>61380</v>
      </c>
      <c r="AB29" s="36">
        <v>245520</v>
      </c>
      <c r="AC29" s="36">
        <v>368280</v>
      </c>
      <c r="AD29" s="36">
        <v>276210</v>
      </c>
      <c r="AE29" s="36">
        <v>582003.14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/>
      <c r="AN29" s="36">
        <v>583110</v>
      </c>
      <c r="AO29" s="36">
        <v>276210</v>
      </c>
      <c r="AP29" s="36">
        <v>61380</v>
      </c>
      <c r="AQ29" s="36">
        <v>245520</v>
      </c>
      <c r="AR29" s="36">
        <v>368280</v>
      </c>
      <c r="AS29" s="36">
        <v>276210</v>
      </c>
      <c r="AT29" s="36">
        <v>583110</v>
      </c>
      <c r="AU29" s="36">
        <v>0</v>
      </c>
      <c r="AV29" s="36">
        <v>245520</v>
      </c>
      <c r="AW29" s="36">
        <v>214830</v>
      </c>
      <c r="AX29" s="36">
        <v>276210</v>
      </c>
      <c r="AY29" s="36">
        <v>214830</v>
      </c>
      <c r="AZ29" s="36">
        <v>247170</v>
      </c>
      <c r="BA29" s="36">
        <v>388080</v>
      </c>
      <c r="BB29" s="36" t="s">
        <v>98</v>
      </c>
      <c r="BC29" s="36">
        <v>250000</v>
      </c>
      <c r="BD29" s="36">
        <v>500000</v>
      </c>
      <c r="BE29" s="36">
        <v>0</v>
      </c>
      <c r="BF29" s="33" t="s">
        <v>94</v>
      </c>
      <c r="BG29" s="36">
        <v>276210</v>
      </c>
      <c r="BH29" s="36">
        <v>61380</v>
      </c>
      <c r="BI29" s="36">
        <v>245520</v>
      </c>
      <c r="BJ29" s="36">
        <v>368280</v>
      </c>
      <c r="BK29" s="36">
        <v>276210</v>
      </c>
      <c r="BL29" s="36">
        <v>582003.14</v>
      </c>
      <c r="BM29" s="36">
        <v>0</v>
      </c>
      <c r="BN29" s="33">
        <v>276210</v>
      </c>
      <c r="BO29" s="33">
        <v>61380</v>
      </c>
      <c r="BP29" s="33">
        <v>500000</v>
      </c>
      <c r="BQ29" s="33">
        <v>250000</v>
      </c>
      <c r="BR29" s="33">
        <v>1809603.14</v>
      </c>
      <c r="BS29" s="33">
        <v>0</v>
      </c>
    </row>
    <row r="30" s="5" customFormat="1" spans="1:71">
      <c r="A30" s="41" t="s">
        <v>84</v>
      </c>
      <c r="B30" s="42" t="s">
        <v>158</v>
      </c>
      <c r="C30" s="41" t="s">
        <v>159</v>
      </c>
      <c r="D30" s="41"/>
      <c r="E30" s="45">
        <v>2</v>
      </c>
      <c r="F30" s="43">
        <v>46142</v>
      </c>
      <c r="G30" s="41" t="s">
        <v>94</v>
      </c>
      <c r="H30" s="35">
        <v>14850</v>
      </c>
      <c r="I30" s="33" t="s">
        <v>101</v>
      </c>
      <c r="J30" s="33">
        <v>30</v>
      </c>
      <c r="K30" s="33">
        <v>120</v>
      </c>
      <c r="L30" s="33" t="s">
        <v>112</v>
      </c>
      <c r="M30" s="36"/>
      <c r="N30" s="36"/>
      <c r="O30" s="36"/>
      <c r="P30" s="36"/>
      <c r="Q30" s="36"/>
      <c r="R30" s="36"/>
      <c r="S30" s="36"/>
      <c r="T30" s="35"/>
      <c r="U30" s="35"/>
      <c r="V30" s="35"/>
      <c r="W30" s="35"/>
      <c r="X30" s="35">
        <v>0</v>
      </c>
      <c r="Y30" s="36">
        <v>49047</v>
      </c>
      <c r="Z30" s="36">
        <v>6500</v>
      </c>
      <c r="AA30" s="36">
        <v>0</v>
      </c>
      <c r="AB30" s="36">
        <v>8350</v>
      </c>
      <c r="AC30" s="36">
        <v>0</v>
      </c>
      <c r="AD30" s="36">
        <v>6950</v>
      </c>
      <c r="AE30" s="36">
        <v>6500</v>
      </c>
      <c r="AF30" s="36">
        <v>0</v>
      </c>
      <c r="AG30" s="36">
        <v>6500</v>
      </c>
      <c r="AH30" s="36">
        <v>14247</v>
      </c>
      <c r="AI30" s="36">
        <v>0</v>
      </c>
      <c r="AJ30" s="36">
        <v>0</v>
      </c>
      <c r="AK30" s="36">
        <v>0</v>
      </c>
      <c r="AL30" s="36">
        <v>0</v>
      </c>
      <c r="AM30" s="36"/>
      <c r="AN30" s="36">
        <v>14850</v>
      </c>
      <c r="AO30" s="36">
        <v>6500</v>
      </c>
      <c r="AP30" s="36">
        <v>0</v>
      </c>
      <c r="AQ30" s="36">
        <v>8350</v>
      </c>
      <c r="AR30" s="36">
        <v>0</v>
      </c>
      <c r="AS30" s="36">
        <v>6950</v>
      </c>
      <c r="AT30" s="36">
        <v>6500</v>
      </c>
      <c r="AU30" s="36">
        <v>0</v>
      </c>
      <c r="AV30" s="36">
        <v>6500</v>
      </c>
      <c r="AW30" s="36">
        <v>14850</v>
      </c>
      <c r="AX30" s="36">
        <v>0</v>
      </c>
      <c r="AY30" s="36">
        <v>6500</v>
      </c>
      <c r="AZ30" s="36">
        <v>6500</v>
      </c>
      <c r="BA30" s="36">
        <v>13000</v>
      </c>
      <c r="BB30" s="36" t="s">
        <v>98</v>
      </c>
      <c r="BC30" s="36">
        <v>0</v>
      </c>
      <c r="BD30" s="36">
        <v>0</v>
      </c>
      <c r="BE30" s="36">
        <v>6500</v>
      </c>
      <c r="BF30" s="33" t="s">
        <v>94</v>
      </c>
      <c r="BG30" s="36">
        <v>6500</v>
      </c>
      <c r="BH30" s="36">
        <v>0</v>
      </c>
      <c r="BI30" s="36">
        <v>8350</v>
      </c>
      <c r="BJ30" s="36">
        <v>0</v>
      </c>
      <c r="BK30" s="36">
        <v>6950</v>
      </c>
      <c r="BL30" s="36">
        <v>6500</v>
      </c>
      <c r="BM30" s="36">
        <v>20747</v>
      </c>
      <c r="BN30" s="33">
        <v>6500</v>
      </c>
      <c r="BO30" s="33">
        <v>0</v>
      </c>
      <c r="BP30" s="33">
        <v>0</v>
      </c>
      <c r="BQ30" s="33">
        <v>0</v>
      </c>
      <c r="BR30" s="33">
        <v>49047</v>
      </c>
      <c r="BS30" s="33">
        <v>6500</v>
      </c>
    </row>
    <row r="31" s="5" customFormat="1" spans="1:71">
      <c r="A31" s="41" t="s">
        <v>84</v>
      </c>
      <c r="B31" s="42" t="s">
        <v>160</v>
      </c>
      <c r="C31" s="41" t="s">
        <v>161</v>
      </c>
      <c r="D31" s="41"/>
      <c r="E31" s="45">
        <v>2</v>
      </c>
      <c r="F31" s="43">
        <v>46142</v>
      </c>
      <c r="G31" s="41" t="s">
        <v>94</v>
      </c>
      <c r="H31" s="35">
        <v>75000</v>
      </c>
      <c r="I31" s="33" t="s">
        <v>101</v>
      </c>
      <c r="J31" s="33">
        <v>30</v>
      </c>
      <c r="K31" s="33">
        <v>30</v>
      </c>
      <c r="L31" s="33" t="s">
        <v>88</v>
      </c>
      <c r="M31" s="36"/>
      <c r="N31" s="36"/>
      <c r="O31" s="36"/>
      <c r="P31" s="36"/>
      <c r="Q31" s="36"/>
      <c r="R31" s="36"/>
      <c r="S31" s="36"/>
      <c r="T31" s="35"/>
      <c r="U31" s="35"/>
      <c r="V31" s="35"/>
      <c r="W31" s="35"/>
      <c r="X31" s="35">
        <v>0</v>
      </c>
      <c r="Y31" s="36">
        <v>189000</v>
      </c>
      <c r="Z31" s="36">
        <v>45000</v>
      </c>
      <c r="AA31" s="36">
        <v>15000</v>
      </c>
      <c r="AB31" s="36">
        <v>15000</v>
      </c>
      <c r="AC31" s="36">
        <v>45000</v>
      </c>
      <c r="AD31" s="36">
        <v>45000</v>
      </c>
      <c r="AE31" s="36">
        <v>15000</v>
      </c>
      <c r="AF31" s="36">
        <v>9000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/>
      <c r="AN31" s="36">
        <v>75000</v>
      </c>
      <c r="AO31" s="36">
        <v>45000</v>
      </c>
      <c r="AP31" s="36">
        <v>15000</v>
      </c>
      <c r="AQ31" s="36">
        <v>15000</v>
      </c>
      <c r="AR31" s="36">
        <v>45000</v>
      </c>
      <c r="AS31" s="36">
        <v>45000</v>
      </c>
      <c r="AT31" s="36">
        <v>15000</v>
      </c>
      <c r="AU31" s="36">
        <v>12000</v>
      </c>
      <c r="AV31" s="36">
        <v>0</v>
      </c>
      <c r="AW31" s="36">
        <v>3000</v>
      </c>
      <c r="AX31" s="36">
        <v>0</v>
      </c>
      <c r="AY31" s="36">
        <v>0</v>
      </c>
      <c r="AZ31" s="36">
        <v>3600</v>
      </c>
      <c r="BA31" s="36">
        <v>0</v>
      </c>
      <c r="BB31" s="36" t="s">
        <v>98</v>
      </c>
      <c r="BC31" s="36">
        <v>0</v>
      </c>
      <c r="BD31" s="36">
        <v>3000</v>
      </c>
      <c r="BE31" s="36">
        <v>0</v>
      </c>
      <c r="BF31" s="33" t="s">
        <v>94</v>
      </c>
      <c r="BG31" s="36">
        <v>45000</v>
      </c>
      <c r="BH31" s="36">
        <v>15000</v>
      </c>
      <c r="BI31" s="36">
        <v>15000</v>
      </c>
      <c r="BJ31" s="36">
        <v>45000</v>
      </c>
      <c r="BK31" s="36">
        <v>45000</v>
      </c>
      <c r="BL31" s="36">
        <v>15000</v>
      </c>
      <c r="BM31" s="36">
        <v>9000</v>
      </c>
      <c r="BN31" s="33">
        <v>45000</v>
      </c>
      <c r="BO31" s="33">
        <v>15000</v>
      </c>
      <c r="BP31" s="33">
        <v>3000</v>
      </c>
      <c r="BQ31" s="33">
        <v>0</v>
      </c>
      <c r="BR31" s="33">
        <v>189000</v>
      </c>
      <c r="BS31" s="33">
        <v>0</v>
      </c>
    </row>
    <row r="32" s="5" customFormat="1" spans="1:71">
      <c r="A32" s="41" t="s">
        <v>84</v>
      </c>
      <c r="B32" s="42" t="s">
        <v>162</v>
      </c>
      <c r="C32" s="41" t="s">
        <v>163</v>
      </c>
      <c r="D32" s="41"/>
      <c r="E32" s="45">
        <v>2</v>
      </c>
      <c r="F32" s="43">
        <v>46142</v>
      </c>
      <c r="G32" s="41" t="s">
        <v>94</v>
      </c>
      <c r="H32" s="35">
        <v>337960</v>
      </c>
      <c r="I32" s="33" t="s">
        <v>101</v>
      </c>
      <c r="J32" s="33">
        <v>120</v>
      </c>
      <c r="K32" s="33">
        <v>150</v>
      </c>
      <c r="L32" s="33" t="s">
        <v>112</v>
      </c>
      <c r="M32" s="36"/>
      <c r="N32" s="36"/>
      <c r="O32" s="36"/>
      <c r="P32" s="36"/>
      <c r="Q32" s="36"/>
      <c r="R32" s="36"/>
      <c r="S32" s="36"/>
      <c r="T32" s="35"/>
      <c r="U32" s="35"/>
      <c r="V32" s="35"/>
      <c r="W32" s="35"/>
      <c r="X32" s="35">
        <v>0</v>
      </c>
      <c r="Y32" s="36">
        <v>2193548.85</v>
      </c>
      <c r="Z32" s="36">
        <v>83980</v>
      </c>
      <c r="AA32" s="36">
        <v>83980</v>
      </c>
      <c r="AB32" s="36">
        <v>170000</v>
      </c>
      <c r="AC32" s="36">
        <v>425000</v>
      </c>
      <c r="AD32" s="36">
        <v>677500</v>
      </c>
      <c r="AE32" s="36">
        <v>753088.85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/>
      <c r="AN32" s="36">
        <v>337960</v>
      </c>
      <c r="AO32" s="36">
        <v>83980</v>
      </c>
      <c r="AP32" s="36">
        <v>83980</v>
      </c>
      <c r="AQ32" s="36">
        <v>170000</v>
      </c>
      <c r="AR32" s="36">
        <v>425000</v>
      </c>
      <c r="AS32" s="36">
        <v>677500</v>
      </c>
      <c r="AT32" s="36">
        <v>760000</v>
      </c>
      <c r="AU32" s="36">
        <v>917500</v>
      </c>
      <c r="AV32" s="36">
        <v>675000</v>
      </c>
      <c r="AW32" s="36">
        <v>1285000</v>
      </c>
      <c r="AX32" s="36">
        <v>1550000</v>
      </c>
      <c r="AY32" s="36">
        <v>612500</v>
      </c>
      <c r="AZ32" s="36">
        <v>514420</v>
      </c>
      <c r="BA32" s="36">
        <v>947400</v>
      </c>
      <c r="BB32" s="36" t="s">
        <v>98</v>
      </c>
      <c r="BC32" s="36">
        <v>920000</v>
      </c>
      <c r="BD32" s="36">
        <v>920000</v>
      </c>
      <c r="BE32" s="36">
        <v>0</v>
      </c>
      <c r="BF32" s="33" t="s">
        <v>94</v>
      </c>
      <c r="BG32" s="36">
        <v>83980</v>
      </c>
      <c r="BH32" s="36">
        <v>83980</v>
      </c>
      <c r="BI32" s="36">
        <v>170000</v>
      </c>
      <c r="BJ32" s="36">
        <v>425000</v>
      </c>
      <c r="BK32" s="36">
        <v>677500</v>
      </c>
      <c r="BL32" s="36">
        <v>753088.85</v>
      </c>
      <c r="BM32" s="36">
        <v>0</v>
      </c>
      <c r="BN32" s="33">
        <v>83980</v>
      </c>
      <c r="BO32" s="33">
        <v>83980</v>
      </c>
      <c r="BP32" s="33">
        <v>920000</v>
      </c>
      <c r="BQ32" s="33">
        <v>920000</v>
      </c>
      <c r="BR32" s="33">
        <v>2193548.85</v>
      </c>
      <c r="BS32" s="33">
        <v>0</v>
      </c>
    </row>
    <row r="33" s="5" customFormat="1" spans="1:71">
      <c r="A33" s="41" t="s">
        <v>84</v>
      </c>
      <c r="B33" s="42" t="s">
        <v>164</v>
      </c>
      <c r="C33" s="41" t="s">
        <v>165</v>
      </c>
      <c r="D33" s="41"/>
      <c r="E33" s="45">
        <v>2</v>
      </c>
      <c r="F33" s="43">
        <v>46142</v>
      </c>
      <c r="G33" s="41" t="s">
        <v>94</v>
      </c>
      <c r="H33" s="35">
        <v>99660</v>
      </c>
      <c r="I33" s="33" t="s">
        <v>101</v>
      </c>
      <c r="J33" s="33">
        <v>30</v>
      </c>
      <c r="K33" s="33">
        <v>90</v>
      </c>
      <c r="L33" s="33" t="s">
        <v>112</v>
      </c>
      <c r="M33" s="36"/>
      <c r="N33" s="36"/>
      <c r="O33" s="36"/>
      <c r="P33" s="36"/>
      <c r="Q33" s="36"/>
      <c r="R33" s="36"/>
      <c r="S33" s="36"/>
      <c r="T33" s="35"/>
      <c r="U33" s="35"/>
      <c r="V33" s="35"/>
      <c r="W33" s="35"/>
      <c r="X33" s="35">
        <v>0</v>
      </c>
      <c r="Y33" s="36">
        <v>297620</v>
      </c>
      <c r="Z33" s="36">
        <v>0</v>
      </c>
      <c r="AA33" s="36">
        <v>99660</v>
      </c>
      <c r="AB33" s="36">
        <v>0</v>
      </c>
      <c r="AC33" s="36">
        <v>99660</v>
      </c>
      <c r="AD33" s="36">
        <v>0</v>
      </c>
      <c r="AE33" s="36">
        <v>98300</v>
      </c>
      <c r="AF33" s="36"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/>
      <c r="AN33" s="36">
        <v>99660</v>
      </c>
      <c r="AO33" s="36">
        <v>0</v>
      </c>
      <c r="AP33" s="36">
        <v>99660</v>
      </c>
      <c r="AQ33" s="36">
        <v>0</v>
      </c>
      <c r="AR33" s="36">
        <v>99660</v>
      </c>
      <c r="AS33" s="36">
        <v>0</v>
      </c>
      <c r="AT33" s="36">
        <v>99660</v>
      </c>
      <c r="AU33" s="36">
        <v>99660</v>
      </c>
      <c r="AV33" s="36">
        <v>0</v>
      </c>
      <c r="AW33" s="36">
        <v>199320</v>
      </c>
      <c r="AX33" s="36">
        <v>0</v>
      </c>
      <c r="AY33" s="36">
        <v>99660</v>
      </c>
      <c r="AZ33" s="36">
        <v>0</v>
      </c>
      <c r="BA33" s="36">
        <v>99660</v>
      </c>
      <c r="BB33" s="36" t="s">
        <v>98</v>
      </c>
      <c r="BC33" s="36">
        <v>100000</v>
      </c>
      <c r="BD33" s="36">
        <v>300000</v>
      </c>
      <c r="BE33" s="36">
        <v>0</v>
      </c>
      <c r="BF33" s="33" t="s">
        <v>94</v>
      </c>
      <c r="BG33" s="36">
        <v>0</v>
      </c>
      <c r="BH33" s="36">
        <v>99660</v>
      </c>
      <c r="BI33" s="36">
        <v>0</v>
      </c>
      <c r="BJ33" s="36">
        <v>99660</v>
      </c>
      <c r="BK33" s="36">
        <v>0</v>
      </c>
      <c r="BL33" s="36">
        <v>98300</v>
      </c>
      <c r="BM33" s="36">
        <v>0</v>
      </c>
      <c r="BN33" s="33">
        <v>0</v>
      </c>
      <c r="BO33" s="33">
        <v>99660</v>
      </c>
      <c r="BP33" s="33">
        <v>300000</v>
      </c>
      <c r="BQ33" s="33">
        <v>100000</v>
      </c>
      <c r="BR33" s="33">
        <v>297620</v>
      </c>
      <c r="BS33" s="33">
        <v>0</v>
      </c>
    </row>
    <row r="34" s="5" customFormat="1" spans="1:71">
      <c r="A34" s="41" t="s">
        <v>84</v>
      </c>
      <c r="B34" s="42" t="s">
        <v>166</v>
      </c>
      <c r="C34" s="41" t="s">
        <v>167</v>
      </c>
      <c r="D34" s="41"/>
      <c r="E34" s="45">
        <v>2</v>
      </c>
      <c r="F34" s="43">
        <v>46142</v>
      </c>
      <c r="G34" s="41" t="s">
        <v>94</v>
      </c>
      <c r="H34" s="35">
        <v>386925</v>
      </c>
      <c r="I34" s="33" t="s">
        <v>127</v>
      </c>
      <c r="J34" s="33">
        <v>90</v>
      </c>
      <c r="K34" s="33">
        <v>90</v>
      </c>
      <c r="L34" s="33" t="s">
        <v>112</v>
      </c>
      <c r="M34" s="36"/>
      <c r="N34" s="36"/>
      <c r="O34" s="46"/>
      <c r="P34" s="36"/>
      <c r="Q34" s="36"/>
      <c r="R34" s="36"/>
      <c r="S34" s="36"/>
      <c r="T34" s="35"/>
      <c r="U34" s="35"/>
      <c r="V34" s="35"/>
      <c r="W34" s="35"/>
      <c r="X34" s="35">
        <v>0</v>
      </c>
      <c r="Y34" s="36">
        <v>378559</v>
      </c>
      <c r="Z34" s="36">
        <v>246225</v>
      </c>
      <c r="AA34" s="36">
        <v>132334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  <c r="AJ34" s="36">
        <v>0</v>
      </c>
      <c r="AK34" s="36">
        <v>0</v>
      </c>
      <c r="AL34" s="36">
        <v>0</v>
      </c>
      <c r="AM34" s="36"/>
      <c r="AN34" s="36">
        <v>386925</v>
      </c>
      <c r="AO34" s="36">
        <v>246225</v>
      </c>
      <c r="AP34" s="36">
        <v>140700</v>
      </c>
      <c r="AQ34" s="36">
        <v>0</v>
      </c>
      <c r="AR34" s="36">
        <v>246225</v>
      </c>
      <c r="AS34" s="36">
        <v>0</v>
      </c>
      <c r="AT34" s="36">
        <v>35175</v>
      </c>
      <c r="AU34" s="36">
        <v>138690</v>
      </c>
      <c r="AV34" s="36">
        <v>210600</v>
      </c>
      <c r="AW34" s="36">
        <v>173400</v>
      </c>
      <c r="AX34" s="36">
        <v>281520</v>
      </c>
      <c r="AY34" s="36">
        <v>138720</v>
      </c>
      <c r="AZ34" s="36">
        <v>69360</v>
      </c>
      <c r="BA34" s="36">
        <v>272340</v>
      </c>
      <c r="BB34" s="36" t="s">
        <v>98</v>
      </c>
      <c r="BC34" s="36">
        <v>250000</v>
      </c>
      <c r="BD34" s="36">
        <v>425000</v>
      </c>
      <c r="BE34" s="36">
        <v>0</v>
      </c>
      <c r="BF34" s="33" t="s">
        <v>94</v>
      </c>
      <c r="BG34" s="36">
        <v>246225</v>
      </c>
      <c r="BH34" s="36">
        <v>132334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3">
        <v>246225</v>
      </c>
      <c r="BO34" s="33">
        <v>140700</v>
      </c>
      <c r="BP34" s="33">
        <v>425000</v>
      </c>
      <c r="BQ34" s="33">
        <v>250000</v>
      </c>
      <c r="BR34" s="33">
        <v>378559</v>
      </c>
      <c r="BS34" s="33">
        <v>0</v>
      </c>
    </row>
    <row r="35" s="5" customFormat="1" spans="1:71">
      <c r="A35" s="41" t="s">
        <v>84</v>
      </c>
      <c r="B35" s="42" t="s">
        <v>137</v>
      </c>
      <c r="C35" s="41" t="s">
        <v>138</v>
      </c>
      <c r="D35" s="41"/>
      <c r="E35" s="45">
        <v>2</v>
      </c>
      <c r="F35" s="43">
        <v>46142</v>
      </c>
      <c r="G35" s="41" t="s">
        <v>94</v>
      </c>
      <c r="H35" s="35">
        <v>104940</v>
      </c>
      <c r="I35" s="33" t="s">
        <v>127</v>
      </c>
      <c r="J35" s="33">
        <v>90</v>
      </c>
      <c r="K35" s="33">
        <v>120</v>
      </c>
      <c r="L35" s="33" t="s">
        <v>112</v>
      </c>
      <c r="M35" s="36"/>
      <c r="N35" s="36"/>
      <c r="O35" s="47"/>
      <c r="P35" s="36"/>
      <c r="Q35" s="36"/>
      <c r="R35" s="36"/>
      <c r="S35" s="36"/>
      <c r="T35" s="35"/>
      <c r="U35" s="35"/>
      <c r="V35" s="35"/>
      <c r="W35" s="35"/>
      <c r="X35" s="35">
        <v>0</v>
      </c>
      <c r="Y35" s="36">
        <v>325093.13</v>
      </c>
      <c r="Z35" s="36">
        <v>87450</v>
      </c>
      <c r="AA35" s="36">
        <v>0</v>
      </c>
      <c r="AB35" s="36">
        <v>17490</v>
      </c>
      <c r="AC35" s="36">
        <v>88800</v>
      </c>
      <c r="AD35" s="36">
        <v>56280</v>
      </c>
      <c r="AE35" s="36">
        <v>51410</v>
      </c>
      <c r="AF35" s="36">
        <v>23663.13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/>
      <c r="AN35" s="36">
        <v>104940</v>
      </c>
      <c r="AO35" s="36">
        <v>87450</v>
      </c>
      <c r="AP35" s="36">
        <v>0</v>
      </c>
      <c r="AQ35" s="36">
        <v>17490</v>
      </c>
      <c r="AR35" s="36">
        <v>88800</v>
      </c>
      <c r="AS35" s="36">
        <v>56280</v>
      </c>
      <c r="AT35" s="36">
        <v>51410</v>
      </c>
      <c r="AU35" s="36">
        <v>92900</v>
      </c>
      <c r="AV35" s="36">
        <v>86390</v>
      </c>
      <c r="AW35" s="36">
        <v>164650</v>
      </c>
      <c r="AX35" s="36">
        <v>0</v>
      </c>
      <c r="AY35" s="36">
        <v>36850</v>
      </c>
      <c r="AZ35" s="36">
        <v>117360</v>
      </c>
      <c r="BA35" s="36">
        <v>0</v>
      </c>
      <c r="BB35" s="36" t="s">
        <v>98</v>
      </c>
      <c r="BC35" s="36">
        <v>0</v>
      </c>
      <c r="BD35" s="36">
        <v>0</v>
      </c>
      <c r="BE35" s="36">
        <v>0</v>
      </c>
      <c r="BF35" s="33" t="s">
        <v>94</v>
      </c>
      <c r="BG35" s="36">
        <v>87450</v>
      </c>
      <c r="BH35" s="36">
        <v>0</v>
      </c>
      <c r="BI35" s="36">
        <v>17490</v>
      </c>
      <c r="BJ35" s="36">
        <v>88800</v>
      </c>
      <c r="BK35" s="36">
        <v>56280</v>
      </c>
      <c r="BL35" s="36">
        <v>51410</v>
      </c>
      <c r="BM35" s="36">
        <v>23663.13</v>
      </c>
      <c r="BN35" s="33">
        <v>87450</v>
      </c>
      <c r="BO35" s="33">
        <v>0</v>
      </c>
      <c r="BP35" s="33">
        <v>0</v>
      </c>
      <c r="BQ35" s="33">
        <v>0</v>
      </c>
      <c r="BR35" s="33">
        <v>325093.13</v>
      </c>
      <c r="BS35" s="33">
        <v>0</v>
      </c>
    </row>
    <row r="36" s="5" customFormat="1" spans="1:71">
      <c r="A36" s="41" t="s">
        <v>84</v>
      </c>
      <c r="B36" s="42" t="s">
        <v>168</v>
      </c>
      <c r="C36" s="41" t="s">
        <v>169</v>
      </c>
      <c r="D36" s="41"/>
      <c r="E36" s="33">
        <v>0</v>
      </c>
      <c r="F36" s="34">
        <v>46142</v>
      </c>
      <c r="G36" s="41" t="s">
        <v>141</v>
      </c>
      <c r="H36" s="35">
        <v>5100</v>
      </c>
      <c r="I36" s="33" t="s">
        <v>153</v>
      </c>
      <c r="J36" s="33">
        <v>30</v>
      </c>
      <c r="K36" s="33">
        <v>30</v>
      </c>
      <c r="L36" s="33" t="s">
        <v>88</v>
      </c>
      <c r="M36" s="36"/>
      <c r="N36" s="36"/>
      <c r="O36" s="36"/>
      <c r="P36" s="36"/>
      <c r="Q36" s="36"/>
      <c r="R36" s="36"/>
      <c r="S36" s="36"/>
      <c r="T36" s="35"/>
      <c r="U36" s="35"/>
      <c r="V36" s="35"/>
      <c r="W36" s="35"/>
      <c r="X36" s="35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0</v>
      </c>
      <c r="AM36" s="36"/>
      <c r="AN36" s="36">
        <v>5100</v>
      </c>
      <c r="AO36" s="36">
        <v>2550</v>
      </c>
      <c r="AP36" s="36">
        <v>0</v>
      </c>
      <c r="AQ36" s="36">
        <v>2550</v>
      </c>
      <c r="AR36" s="36">
        <v>2389.2</v>
      </c>
      <c r="AS36" s="36">
        <v>0</v>
      </c>
      <c r="AT36" s="36">
        <v>1275</v>
      </c>
      <c r="AU36" s="36">
        <v>1200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 t="s">
        <v>98</v>
      </c>
      <c r="BC36" s="36">
        <v>2550</v>
      </c>
      <c r="BD36" s="36">
        <v>4939.2</v>
      </c>
      <c r="BE36" s="36">
        <v>0</v>
      </c>
      <c r="BF36" s="33" t="s">
        <v>141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3">
        <v>2550</v>
      </c>
      <c r="BO36" s="33">
        <v>0</v>
      </c>
      <c r="BP36" s="33">
        <v>4939.2</v>
      </c>
      <c r="BQ36" s="33">
        <v>2550</v>
      </c>
      <c r="BR36" s="33">
        <v>0</v>
      </c>
      <c r="BS36" s="33">
        <v>0</v>
      </c>
    </row>
    <row r="37" s="5" customFormat="1" spans="1:71">
      <c r="A37" s="41" t="s">
        <v>84</v>
      </c>
      <c r="B37" s="42" t="s">
        <v>170</v>
      </c>
      <c r="C37" s="41" t="s">
        <v>171</v>
      </c>
      <c r="D37" s="41"/>
      <c r="E37" s="41">
        <v>1</v>
      </c>
      <c r="F37" s="43">
        <v>46142</v>
      </c>
      <c r="G37" s="41" t="s">
        <v>94</v>
      </c>
      <c r="H37" s="35">
        <v>438520</v>
      </c>
      <c r="I37" s="33" t="s">
        <v>127</v>
      </c>
      <c r="J37" s="33">
        <v>30</v>
      </c>
      <c r="K37" s="33">
        <v>30</v>
      </c>
      <c r="L37" s="33" t="s">
        <v>112</v>
      </c>
      <c r="M37" s="36"/>
      <c r="N37" s="36"/>
      <c r="O37" s="36"/>
      <c r="P37" s="36"/>
      <c r="Q37" s="36"/>
      <c r="R37" s="36"/>
      <c r="S37" s="36"/>
      <c r="T37" s="35"/>
      <c r="U37" s="35"/>
      <c r="V37" s="35"/>
      <c r="W37" s="35"/>
      <c r="X37" s="35">
        <v>0</v>
      </c>
      <c r="Y37" s="36">
        <v>349192.37</v>
      </c>
      <c r="Z37" s="36">
        <v>178640</v>
      </c>
      <c r="AA37" s="36">
        <v>170552.37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36">
        <v>0</v>
      </c>
      <c r="AM37" s="36"/>
      <c r="AN37" s="36">
        <v>438520</v>
      </c>
      <c r="AO37" s="36">
        <v>178640</v>
      </c>
      <c r="AP37" s="36">
        <v>178640</v>
      </c>
      <c r="AQ37" s="36">
        <v>81240</v>
      </c>
      <c r="AR37" s="36">
        <v>89320</v>
      </c>
      <c r="AS37" s="36">
        <v>89320</v>
      </c>
      <c r="AT37" s="36">
        <v>89320</v>
      </c>
      <c r="AU37" s="36">
        <v>89320</v>
      </c>
      <c r="AV37" s="36">
        <v>163640</v>
      </c>
      <c r="AW37" s="36">
        <v>0</v>
      </c>
      <c r="AX37" s="36">
        <v>293760</v>
      </c>
      <c r="AY37" s="36">
        <v>0</v>
      </c>
      <c r="AZ37" s="36">
        <v>0</v>
      </c>
      <c r="BA37" s="36">
        <v>0</v>
      </c>
      <c r="BB37" s="36" t="s">
        <v>98</v>
      </c>
      <c r="BC37" s="36">
        <v>179060</v>
      </c>
      <c r="BD37" s="36">
        <v>258292.63</v>
      </c>
      <c r="BE37" s="36">
        <v>0</v>
      </c>
      <c r="BF37" s="33" t="s">
        <v>94</v>
      </c>
      <c r="BG37" s="36">
        <v>178640</v>
      </c>
      <c r="BH37" s="36">
        <v>170552.37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3">
        <v>178640</v>
      </c>
      <c r="BO37" s="33">
        <v>178640</v>
      </c>
      <c r="BP37" s="33">
        <v>258292.63</v>
      </c>
      <c r="BQ37" s="33">
        <v>179060</v>
      </c>
      <c r="BR37" s="33">
        <v>349192.37</v>
      </c>
      <c r="BS37" s="33">
        <v>0</v>
      </c>
    </row>
    <row r="38" s="5" customFormat="1" spans="1:71">
      <c r="A38" s="41" t="s">
        <v>84</v>
      </c>
      <c r="B38" s="42" t="s">
        <v>172</v>
      </c>
      <c r="C38" s="41" t="s">
        <v>173</v>
      </c>
      <c r="D38" s="41"/>
      <c r="E38" s="45">
        <v>2</v>
      </c>
      <c r="F38" s="43">
        <v>46142</v>
      </c>
      <c r="G38" s="41" t="s">
        <v>94</v>
      </c>
      <c r="H38" s="35">
        <v>54900</v>
      </c>
      <c r="I38" s="33" t="s">
        <v>127</v>
      </c>
      <c r="J38" s="33">
        <v>90</v>
      </c>
      <c r="K38" s="33">
        <v>90</v>
      </c>
      <c r="L38" s="33" t="s">
        <v>112</v>
      </c>
      <c r="M38" s="36"/>
      <c r="N38" s="36"/>
      <c r="O38" s="36"/>
      <c r="P38" s="36"/>
      <c r="Q38" s="36"/>
      <c r="R38" s="36"/>
      <c r="S38" s="36"/>
      <c r="T38" s="35"/>
      <c r="U38" s="35"/>
      <c r="V38" s="35"/>
      <c r="W38" s="35"/>
      <c r="X38" s="35">
        <v>0</v>
      </c>
      <c r="Y38" s="36">
        <v>113632.71</v>
      </c>
      <c r="Z38" s="36">
        <v>0</v>
      </c>
      <c r="AA38" s="36">
        <v>54900</v>
      </c>
      <c r="AB38" s="36">
        <v>0</v>
      </c>
      <c r="AC38" s="36">
        <v>0</v>
      </c>
      <c r="AD38" s="36">
        <v>30500</v>
      </c>
      <c r="AE38" s="36">
        <v>15860</v>
      </c>
      <c r="AF38" s="36">
        <v>12372.71</v>
      </c>
      <c r="AG38" s="36">
        <v>0</v>
      </c>
      <c r="AH38" s="36">
        <v>0</v>
      </c>
      <c r="AI38" s="36">
        <v>0</v>
      </c>
      <c r="AJ38" s="36">
        <v>0</v>
      </c>
      <c r="AK38" s="36">
        <v>0</v>
      </c>
      <c r="AL38" s="36">
        <v>0</v>
      </c>
      <c r="AM38" s="36"/>
      <c r="AN38" s="36">
        <v>54900</v>
      </c>
      <c r="AO38" s="36">
        <v>0</v>
      </c>
      <c r="AP38" s="36">
        <v>54900</v>
      </c>
      <c r="AQ38" s="36">
        <v>0</v>
      </c>
      <c r="AR38" s="36">
        <v>0</v>
      </c>
      <c r="AS38" s="36">
        <v>30500</v>
      </c>
      <c r="AT38" s="36">
        <v>15860</v>
      </c>
      <c r="AU38" s="36">
        <v>15860</v>
      </c>
      <c r="AV38" s="36">
        <v>36600</v>
      </c>
      <c r="AW38" s="36">
        <v>40260</v>
      </c>
      <c r="AX38" s="36">
        <v>0</v>
      </c>
      <c r="AY38" s="36">
        <v>0</v>
      </c>
      <c r="AZ38" s="36">
        <v>70760</v>
      </c>
      <c r="BA38" s="36">
        <v>0</v>
      </c>
      <c r="BB38" s="36" t="s">
        <v>98</v>
      </c>
      <c r="BC38" s="36">
        <v>0</v>
      </c>
      <c r="BD38" s="36">
        <v>40000</v>
      </c>
      <c r="BE38" s="36">
        <v>0</v>
      </c>
      <c r="BF38" s="33" t="s">
        <v>94</v>
      </c>
      <c r="BG38" s="36">
        <v>0</v>
      </c>
      <c r="BH38" s="36">
        <v>54900</v>
      </c>
      <c r="BI38" s="36">
        <v>0</v>
      </c>
      <c r="BJ38" s="36">
        <v>0</v>
      </c>
      <c r="BK38" s="36">
        <v>30500</v>
      </c>
      <c r="BL38" s="36">
        <v>15860</v>
      </c>
      <c r="BM38" s="36">
        <v>12372.71</v>
      </c>
      <c r="BN38" s="33">
        <v>0</v>
      </c>
      <c r="BO38" s="33">
        <v>54900</v>
      </c>
      <c r="BP38" s="33">
        <v>40000</v>
      </c>
      <c r="BQ38" s="33">
        <v>0</v>
      </c>
      <c r="BR38" s="33">
        <v>113632.71</v>
      </c>
      <c r="BS38" s="33">
        <v>0</v>
      </c>
    </row>
    <row r="39" s="5" customFormat="1" spans="1:71">
      <c r="A39" s="41" t="s">
        <v>84</v>
      </c>
      <c r="B39" s="42" t="s">
        <v>125</v>
      </c>
      <c r="C39" s="41" t="s">
        <v>126</v>
      </c>
      <c r="D39" s="41"/>
      <c r="E39" s="45">
        <v>2</v>
      </c>
      <c r="F39" s="43">
        <v>46142</v>
      </c>
      <c r="G39" s="41" t="s">
        <v>94</v>
      </c>
      <c r="H39" s="35">
        <v>38000</v>
      </c>
      <c r="I39" s="33" t="s">
        <v>127</v>
      </c>
      <c r="J39" s="33">
        <v>90</v>
      </c>
      <c r="K39" s="33">
        <v>120</v>
      </c>
      <c r="L39" s="33" t="s">
        <v>112</v>
      </c>
      <c r="M39" s="36"/>
      <c r="N39" s="36"/>
      <c r="O39" s="36"/>
      <c r="P39" s="36"/>
      <c r="Q39" s="36"/>
      <c r="R39" s="36"/>
      <c r="S39" s="36"/>
      <c r="T39" s="35"/>
      <c r="U39" s="35"/>
      <c r="V39" s="35"/>
      <c r="W39" s="35"/>
      <c r="X39" s="35">
        <v>0</v>
      </c>
      <c r="Y39" s="36">
        <v>74100</v>
      </c>
      <c r="Z39" s="36">
        <v>0</v>
      </c>
      <c r="AA39" s="36">
        <v>19000</v>
      </c>
      <c r="AB39" s="36">
        <v>19000</v>
      </c>
      <c r="AC39" s="36">
        <v>19000</v>
      </c>
      <c r="AD39" s="36">
        <v>0</v>
      </c>
      <c r="AE39" s="36">
        <v>0</v>
      </c>
      <c r="AF39" s="36">
        <v>17100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36">
        <v>0</v>
      </c>
      <c r="AM39" s="36"/>
      <c r="AN39" s="36">
        <v>38000</v>
      </c>
      <c r="AO39" s="36">
        <v>0</v>
      </c>
      <c r="AP39" s="36">
        <v>19000</v>
      </c>
      <c r="AQ39" s="36">
        <v>19000</v>
      </c>
      <c r="AR39" s="36">
        <v>19000</v>
      </c>
      <c r="AS39" s="36">
        <v>0</v>
      </c>
      <c r="AT39" s="36">
        <v>0</v>
      </c>
      <c r="AU39" s="36">
        <v>55100</v>
      </c>
      <c r="AV39" s="36">
        <v>0</v>
      </c>
      <c r="AW39" s="36">
        <v>19000</v>
      </c>
      <c r="AX39" s="36">
        <v>19000</v>
      </c>
      <c r="AY39" s="36">
        <v>19000</v>
      </c>
      <c r="AZ39" s="36">
        <v>19000</v>
      </c>
      <c r="BA39" s="36">
        <v>38000</v>
      </c>
      <c r="BB39" s="36" t="s">
        <v>98</v>
      </c>
      <c r="BC39" s="36">
        <v>0</v>
      </c>
      <c r="BD39" s="36">
        <v>43984.64</v>
      </c>
      <c r="BE39" s="36">
        <v>19000</v>
      </c>
      <c r="BF39" s="33" t="s">
        <v>94</v>
      </c>
      <c r="BG39" s="36">
        <v>0</v>
      </c>
      <c r="BH39" s="36">
        <v>19000</v>
      </c>
      <c r="BI39" s="36">
        <v>19000</v>
      </c>
      <c r="BJ39" s="36">
        <v>19000</v>
      </c>
      <c r="BK39" s="36">
        <v>0</v>
      </c>
      <c r="BL39" s="36">
        <v>0</v>
      </c>
      <c r="BM39" s="36">
        <v>17100</v>
      </c>
      <c r="BN39" s="33">
        <v>0</v>
      </c>
      <c r="BO39" s="33">
        <v>19000</v>
      </c>
      <c r="BP39" s="33">
        <v>43984.64</v>
      </c>
      <c r="BQ39" s="33">
        <v>0</v>
      </c>
      <c r="BR39" s="33">
        <v>74100</v>
      </c>
      <c r="BS39" s="33">
        <v>19000</v>
      </c>
    </row>
    <row r="40" s="5" customFormat="1" spans="1:71">
      <c r="A40" s="41" t="s">
        <v>84</v>
      </c>
      <c r="B40" s="42" t="s">
        <v>174</v>
      </c>
      <c r="C40" s="41" t="s">
        <v>175</v>
      </c>
      <c r="D40" s="41"/>
      <c r="E40" s="45">
        <v>2</v>
      </c>
      <c r="F40" s="43">
        <v>46132</v>
      </c>
      <c r="G40" s="41" t="s">
        <v>94</v>
      </c>
      <c r="H40" s="35">
        <v>256135</v>
      </c>
      <c r="I40" s="33" t="s">
        <v>127</v>
      </c>
      <c r="J40" s="33">
        <v>150</v>
      </c>
      <c r="K40" s="33">
        <v>150</v>
      </c>
      <c r="L40" s="33" t="s">
        <v>112</v>
      </c>
      <c r="M40" s="36"/>
      <c r="N40" s="36"/>
      <c r="O40" s="36"/>
      <c r="P40" s="36"/>
      <c r="Q40" s="36"/>
      <c r="R40" s="36"/>
      <c r="S40" s="36"/>
      <c r="T40" s="35"/>
      <c r="U40" s="35"/>
      <c r="V40" s="35"/>
      <c r="W40" s="35"/>
      <c r="X40" s="35">
        <v>0</v>
      </c>
      <c r="Y40" s="36">
        <v>500155.5</v>
      </c>
      <c r="Z40" s="36">
        <v>159080</v>
      </c>
      <c r="AA40" s="36">
        <v>29980</v>
      </c>
      <c r="AB40" s="36">
        <v>67075</v>
      </c>
      <c r="AC40" s="36">
        <v>131160</v>
      </c>
      <c r="AD40" s="36">
        <v>58420</v>
      </c>
      <c r="AE40" s="36">
        <v>54440.5</v>
      </c>
      <c r="AF40" s="36">
        <v>0</v>
      </c>
      <c r="AG40" s="36">
        <v>0</v>
      </c>
      <c r="AH40" s="36">
        <v>0</v>
      </c>
      <c r="AI40" s="36">
        <v>0</v>
      </c>
      <c r="AJ40" s="36">
        <v>0</v>
      </c>
      <c r="AK40" s="36">
        <v>0</v>
      </c>
      <c r="AL40" s="36">
        <v>0</v>
      </c>
      <c r="AM40" s="36"/>
      <c r="AN40" s="36">
        <v>256135</v>
      </c>
      <c r="AO40" s="36">
        <v>159080</v>
      </c>
      <c r="AP40" s="36">
        <v>29980</v>
      </c>
      <c r="AQ40" s="36">
        <v>67075</v>
      </c>
      <c r="AR40" s="36">
        <v>131160</v>
      </c>
      <c r="AS40" s="36">
        <v>58420</v>
      </c>
      <c r="AT40" s="36">
        <v>59920</v>
      </c>
      <c r="AU40" s="36">
        <v>137370</v>
      </c>
      <c r="AV40" s="36">
        <v>0</v>
      </c>
      <c r="AW40" s="36">
        <v>179780</v>
      </c>
      <c r="AX40" s="36">
        <v>243570</v>
      </c>
      <c r="AY40" s="36">
        <v>91778</v>
      </c>
      <c r="AZ40" s="36">
        <v>184550</v>
      </c>
      <c r="BA40" s="36">
        <v>185550</v>
      </c>
      <c r="BB40" s="36" t="s">
        <v>98</v>
      </c>
      <c r="BC40" s="36">
        <v>0</v>
      </c>
      <c r="BD40" s="36">
        <v>302630</v>
      </c>
      <c r="BE40" s="36">
        <v>0</v>
      </c>
      <c r="BF40" s="33" t="s">
        <v>94</v>
      </c>
      <c r="BG40" s="36">
        <v>159080</v>
      </c>
      <c r="BH40" s="36">
        <v>29980</v>
      </c>
      <c r="BI40" s="36">
        <v>67075</v>
      </c>
      <c r="BJ40" s="36">
        <v>131160</v>
      </c>
      <c r="BK40" s="36">
        <v>58420</v>
      </c>
      <c r="BL40" s="36">
        <v>54440.5</v>
      </c>
      <c r="BM40" s="36">
        <v>0</v>
      </c>
      <c r="BN40" s="33">
        <v>159080</v>
      </c>
      <c r="BO40" s="33">
        <v>29980</v>
      </c>
      <c r="BP40" s="33">
        <v>302630</v>
      </c>
      <c r="BQ40" s="33">
        <v>0</v>
      </c>
      <c r="BR40" s="33">
        <v>500155.5</v>
      </c>
      <c r="BS40" s="33">
        <v>0</v>
      </c>
    </row>
    <row r="41" s="5" customFormat="1" spans="1:71">
      <c r="A41" s="41" t="s">
        <v>84</v>
      </c>
      <c r="B41" s="42" t="s">
        <v>176</v>
      </c>
      <c r="C41" s="41" t="s">
        <v>177</v>
      </c>
      <c r="D41" s="41"/>
      <c r="E41" s="45">
        <v>2</v>
      </c>
      <c r="F41" s="43">
        <v>46142</v>
      </c>
      <c r="G41" s="41" t="s">
        <v>94</v>
      </c>
      <c r="H41" s="35">
        <v>4628325</v>
      </c>
      <c r="I41" s="33" t="s">
        <v>127</v>
      </c>
      <c r="J41" s="33">
        <v>120</v>
      </c>
      <c r="K41" s="33">
        <v>180</v>
      </c>
      <c r="L41" s="33" t="s">
        <v>112</v>
      </c>
      <c r="M41" s="36"/>
      <c r="N41" s="36"/>
      <c r="O41" s="36"/>
      <c r="P41" s="36"/>
      <c r="Q41" s="36"/>
      <c r="R41" s="36"/>
      <c r="S41" s="36"/>
      <c r="T41" s="35"/>
      <c r="U41" s="35"/>
      <c r="V41" s="35"/>
      <c r="W41" s="35"/>
      <c r="X41" s="35">
        <v>0</v>
      </c>
      <c r="Y41" s="36">
        <v>11806417.61</v>
      </c>
      <c r="Z41" s="36">
        <v>2040975</v>
      </c>
      <c r="AA41" s="36">
        <v>387750</v>
      </c>
      <c r="AB41" s="36">
        <v>2199600</v>
      </c>
      <c r="AC41" s="36">
        <v>2553600</v>
      </c>
      <c r="AD41" s="36">
        <v>2019600</v>
      </c>
      <c r="AE41" s="36">
        <v>1920000</v>
      </c>
      <c r="AF41" s="36">
        <v>684892.609999999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36">
        <v>0</v>
      </c>
      <c r="AM41" s="36"/>
      <c r="AN41" s="36">
        <v>4628325</v>
      </c>
      <c r="AO41" s="36">
        <v>2040975</v>
      </c>
      <c r="AP41" s="36">
        <v>387750</v>
      </c>
      <c r="AQ41" s="36">
        <v>2199600</v>
      </c>
      <c r="AR41" s="36">
        <v>2553600</v>
      </c>
      <c r="AS41" s="36">
        <v>2019600</v>
      </c>
      <c r="AT41" s="36">
        <v>1920000</v>
      </c>
      <c r="AU41" s="36">
        <v>3190800</v>
      </c>
      <c r="AV41" s="36">
        <v>1446000</v>
      </c>
      <c r="AW41" s="36">
        <v>1836000</v>
      </c>
      <c r="AX41" s="36">
        <v>2400000</v>
      </c>
      <c r="AY41" s="36">
        <v>2170800</v>
      </c>
      <c r="AZ41" s="36">
        <v>2240400</v>
      </c>
      <c r="BA41" s="36">
        <v>2719200</v>
      </c>
      <c r="BB41" s="36" t="s">
        <v>98</v>
      </c>
      <c r="BC41" s="36">
        <v>2500000</v>
      </c>
      <c r="BD41" s="36">
        <v>7650000</v>
      </c>
      <c r="BE41" s="36">
        <v>0</v>
      </c>
      <c r="BF41" s="33" t="s">
        <v>94</v>
      </c>
      <c r="BG41" s="36">
        <v>2040975</v>
      </c>
      <c r="BH41" s="36">
        <v>387750</v>
      </c>
      <c r="BI41" s="36">
        <v>2199600</v>
      </c>
      <c r="BJ41" s="36">
        <v>2553600</v>
      </c>
      <c r="BK41" s="36">
        <v>2019600</v>
      </c>
      <c r="BL41" s="36">
        <v>1920000</v>
      </c>
      <c r="BM41" s="36">
        <v>684892.609999999</v>
      </c>
      <c r="BN41" s="33">
        <v>2040975</v>
      </c>
      <c r="BO41" s="33">
        <v>387750</v>
      </c>
      <c r="BP41" s="33">
        <v>7650000</v>
      </c>
      <c r="BQ41" s="33">
        <v>2500000</v>
      </c>
      <c r="BR41" s="33">
        <v>11806417.61</v>
      </c>
      <c r="BS41" s="33">
        <v>0</v>
      </c>
    </row>
    <row r="42" s="5" customFormat="1" spans="1:71">
      <c r="A42" s="41" t="s">
        <v>84</v>
      </c>
      <c r="B42" s="42" t="s">
        <v>178</v>
      </c>
      <c r="C42" s="41" t="s">
        <v>179</v>
      </c>
      <c r="D42" s="41"/>
      <c r="E42" s="41">
        <v>0</v>
      </c>
      <c r="F42" s="43">
        <v>46127</v>
      </c>
      <c r="G42" s="41" t="s">
        <v>141</v>
      </c>
      <c r="H42" s="35">
        <v>397507.57</v>
      </c>
      <c r="I42" s="33" t="s">
        <v>153</v>
      </c>
      <c r="J42" s="33">
        <v>60</v>
      </c>
      <c r="K42" s="33">
        <v>60</v>
      </c>
      <c r="L42" s="33" t="s">
        <v>88</v>
      </c>
      <c r="M42" s="36"/>
      <c r="N42" s="36"/>
      <c r="O42" s="36"/>
      <c r="P42" s="36"/>
      <c r="Q42" s="36"/>
      <c r="R42" s="36"/>
      <c r="S42" s="36"/>
      <c r="T42" s="35"/>
      <c r="U42" s="35"/>
      <c r="V42" s="35"/>
      <c r="W42" s="35"/>
      <c r="X42" s="35"/>
      <c r="Y42" s="36">
        <v>471106.06</v>
      </c>
      <c r="Z42" s="36">
        <v>193628.07</v>
      </c>
      <c r="AA42" s="36">
        <v>203879.5</v>
      </c>
      <c r="AB42" s="36">
        <v>0</v>
      </c>
      <c r="AC42" s="36">
        <v>73598.49</v>
      </c>
      <c r="AD42" s="36">
        <v>0</v>
      </c>
      <c r="AE42" s="36">
        <v>0</v>
      </c>
      <c r="AF42" s="36">
        <v>0</v>
      </c>
      <c r="AG42" s="36">
        <v>0</v>
      </c>
      <c r="AH42" s="36">
        <v>0</v>
      </c>
      <c r="AI42" s="36">
        <v>0</v>
      </c>
      <c r="AJ42" s="36">
        <v>0</v>
      </c>
      <c r="AK42" s="36">
        <v>0</v>
      </c>
      <c r="AL42" s="36">
        <v>0</v>
      </c>
      <c r="AM42" s="36"/>
      <c r="AN42" s="36">
        <v>397507.57</v>
      </c>
      <c r="AO42" s="36">
        <v>193628.07</v>
      </c>
      <c r="AP42" s="36">
        <v>203879.5</v>
      </c>
      <c r="AQ42" s="36">
        <v>0</v>
      </c>
      <c r="AR42" s="36">
        <v>80060.35</v>
      </c>
      <c r="AS42" s="36">
        <v>165537.51</v>
      </c>
      <c r="AT42" s="36">
        <v>427529.42</v>
      </c>
      <c r="AU42" s="36">
        <v>0</v>
      </c>
      <c r="AV42" s="36">
        <v>165325.78</v>
      </c>
      <c r="AW42" s="36">
        <v>612864.53</v>
      </c>
      <c r="AX42" s="36">
        <v>254745.15</v>
      </c>
      <c r="AY42" s="36">
        <v>0</v>
      </c>
      <c r="AZ42" s="36">
        <v>375627.63</v>
      </c>
      <c r="BA42" s="36">
        <v>192565.01</v>
      </c>
      <c r="BB42" s="36" t="s">
        <v>98</v>
      </c>
      <c r="BC42" s="36">
        <v>168091.88</v>
      </c>
      <c r="BD42" s="36">
        <v>378091.88</v>
      </c>
      <c r="BE42" s="36">
        <v>236127.13</v>
      </c>
      <c r="BF42" s="33" t="s">
        <v>141</v>
      </c>
      <c r="BG42" s="36">
        <v>193628.07</v>
      </c>
      <c r="BH42" s="36">
        <v>203879.5</v>
      </c>
      <c r="BI42" s="36">
        <v>0</v>
      </c>
      <c r="BJ42" s="36">
        <v>73598.49</v>
      </c>
      <c r="BK42" s="36">
        <v>0</v>
      </c>
      <c r="BL42" s="36">
        <v>0</v>
      </c>
      <c r="BM42" s="36">
        <v>0</v>
      </c>
      <c r="BN42" s="33">
        <v>193628.07</v>
      </c>
      <c r="BO42" s="33">
        <v>203879.5</v>
      </c>
      <c r="BP42" s="33">
        <v>378091.88</v>
      </c>
      <c r="BQ42" s="33">
        <v>168091.88</v>
      </c>
      <c r="BR42" s="33">
        <v>471106.06</v>
      </c>
      <c r="BS42" s="33">
        <v>236127.13</v>
      </c>
    </row>
    <row r="43" s="5" customFormat="1" spans="1:71">
      <c r="A43" s="33" t="s">
        <v>91</v>
      </c>
      <c r="B43" s="33" t="s">
        <v>180</v>
      </c>
      <c r="C43" s="33" t="s">
        <v>181</v>
      </c>
      <c r="D43" s="33" t="s">
        <v>79</v>
      </c>
      <c r="E43" s="33">
        <v>1</v>
      </c>
      <c r="F43" s="34">
        <v>46142</v>
      </c>
      <c r="G43" s="33" t="s">
        <v>141</v>
      </c>
      <c r="H43" s="35">
        <v>5700</v>
      </c>
      <c r="I43" s="33" t="s">
        <v>182</v>
      </c>
      <c r="J43" s="33">
        <v>30</v>
      </c>
      <c r="K43" s="33">
        <v>60</v>
      </c>
      <c r="L43" s="33" t="s">
        <v>112</v>
      </c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5"/>
      <c r="Y43" s="36">
        <v>15300</v>
      </c>
      <c r="Z43" s="36">
        <v>1800</v>
      </c>
      <c r="AA43" s="36">
        <v>0</v>
      </c>
      <c r="AB43" s="36">
        <v>3900</v>
      </c>
      <c r="AC43" s="36">
        <v>2400</v>
      </c>
      <c r="AD43" s="36">
        <v>7200</v>
      </c>
      <c r="AE43" s="36">
        <v>0</v>
      </c>
      <c r="AF43" s="36">
        <v>0</v>
      </c>
      <c r="AG43" s="36">
        <v>0</v>
      </c>
      <c r="AH43" s="36">
        <v>0</v>
      </c>
      <c r="AI43" s="36">
        <v>0</v>
      </c>
      <c r="AJ43" s="36">
        <v>0</v>
      </c>
      <c r="AK43" s="36">
        <v>0</v>
      </c>
      <c r="AL43" s="36">
        <v>0</v>
      </c>
      <c r="AM43" s="36"/>
      <c r="AN43" s="36">
        <v>5700</v>
      </c>
      <c r="AO43" s="36">
        <v>1800</v>
      </c>
      <c r="AP43" s="36">
        <v>0</v>
      </c>
      <c r="AQ43" s="36">
        <v>3900</v>
      </c>
      <c r="AR43" s="36">
        <v>2400</v>
      </c>
      <c r="AS43" s="36">
        <v>7200</v>
      </c>
      <c r="AT43" s="36">
        <v>3600</v>
      </c>
      <c r="AU43" s="36">
        <v>4950</v>
      </c>
      <c r="AV43" s="36">
        <v>3600</v>
      </c>
      <c r="AW43" s="36">
        <v>0</v>
      </c>
      <c r="AX43" s="36">
        <v>0</v>
      </c>
      <c r="AY43" s="36">
        <v>1000</v>
      </c>
      <c r="AZ43" s="36">
        <v>2000</v>
      </c>
      <c r="BA43" s="36">
        <v>0</v>
      </c>
      <c r="BB43" s="36" t="s">
        <v>98</v>
      </c>
      <c r="BC43" s="36">
        <v>0</v>
      </c>
      <c r="BD43" s="36">
        <v>12150</v>
      </c>
      <c r="BE43" s="36">
        <v>0</v>
      </c>
      <c r="BF43" s="33" t="s">
        <v>141</v>
      </c>
      <c r="BG43" s="36">
        <v>1800</v>
      </c>
      <c r="BH43" s="36">
        <v>0</v>
      </c>
      <c r="BI43" s="36">
        <v>3900</v>
      </c>
      <c r="BJ43" s="36">
        <v>2400</v>
      </c>
      <c r="BK43" s="36">
        <v>7200</v>
      </c>
      <c r="BL43" s="36">
        <v>0</v>
      </c>
      <c r="BM43" s="36">
        <v>0</v>
      </c>
      <c r="BN43" s="33">
        <v>1800</v>
      </c>
      <c r="BO43" s="33">
        <v>0</v>
      </c>
      <c r="BP43" s="33">
        <v>12150</v>
      </c>
      <c r="BQ43" s="33">
        <v>0</v>
      </c>
      <c r="BR43" s="33">
        <v>15300</v>
      </c>
      <c r="BS43" s="33">
        <v>0</v>
      </c>
    </row>
    <row r="44" s="5" customFormat="1" spans="1:71">
      <c r="A44" s="41" t="s">
        <v>122</v>
      </c>
      <c r="B44" s="42" t="s">
        <v>183</v>
      </c>
      <c r="C44" s="41" t="s">
        <v>184</v>
      </c>
      <c r="D44" s="41"/>
      <c r="E44" s="41">
        <v>1</v>
      </c>
      <c r="F44" s="43">
        <v>46142</v>
      </c>
      <c r="G44" s="41" t="s">
        <v>141</v>
      </c>
      <c r="H44" s="35">
        <v>370600</v>
      </c>
      <c r="I44" s="33" t="s">
        <v>185</v>
      </c>
      <c r="J44" s="33" t="s">
        <v>186</v>
      </c>
      <c r="K44" s="33" t="s">
        <v>186</v>
      </c>
      <c r="L44" s="33" t="s">
        <v>88</v>
      </c>
      <c r="M44" s="36"/>
      <c r="N44" s="36"/>
      <c r="O44" s="46"/>
      <c r="P44" s="36"/>
      <c r="Q44" s="36"/>
      <c r="R44" s="36"/>
      <c r="S44" s="36"/>
      <c r="T44" s="35"/>
      <c r="U44" s="35"/>
      <c r="V44" s="35"/>
      <c r="W44" s="35"/>
      <c r="X44" s="35"/>
      <c r="Y44" s="36">
        <v>100900</v>
      </c>
      <c r="Z44" s="36">
        <v>100900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36"/>
      <c r="AN44" s="36">
        <v>370600</v>
      </c>
      <c r="AO44" s="36">
        <v>104650</v>
      </c>
      <c r="AP44" s="36">
        <v>194450</v>
      </c>
      <c r="AQ44" s="36">
        <v>71500</v>
      </c>
      <c r="AR44" s="36">
        <v>14700</v>
      </c>
      <c r="AS44" s="36">
        <v>12850</v>
      </c>
      <c r="AT44" s="36">
        <v>71500</v>
      </c>
      <c r="AU44" s="36">
        <v>34500</v>
      </c>
      <c r="AV44" s="36">
        <v>110700</v>
      </c>
      <c r="AW44" s="36">
        <v>0</v>
      </c>
      <c r="AX44" s="36">
        <v>0</v>
      </c>
      <c r="AY44" s="36">
        <v>7400</v>
      </c>
      <c r="AZ44" s="36">
        <v>29975</v>
      </c>
      <c r="BA44" s="36">
        <v>17750</v>
      </c>
      <c r="BB44" s="36" t="s">
        <v>98</v>
      </c>
      <c r="BC44" s="36">
        <v>185350</v>
      </c>
      <c r="BD44" s="36">
        <v>232700</v>
      </c>
      <c r="BE44" s="36">
        <v>0</v>
      </c>
      <c r="BF44" s="33" t="s">
        <v>141</v>
      </c>
      <c r="BG44" s="36">
        <v>100900</v>
      </c>
      <c r="BH44" s="36">
        <v>0</v>
      </c>
      <c r="BI44" s="36">
        <v>0</v>
      </c>
      <c r="BJ44" s="36">
        <v>0</v>
      </c>
      <c r="BK44" s="36">
        <v>0</v>
      </c>
      <c r="BL44" s="36">
        <v>0</v>
      </c>
      <c r="BM44" s="36">
        <v>0</v>
      </c>
      <c r="BN44" s="33">
        <v>104650</v>
      </c>
      <c r="BO44" s="33">
        <v>194450</v>
      </c>
      <c r="BP44" s="33">
        <v>232700</v>
      </c>
      <c r="BQ44" s="33">
        <v>185350</v>
      </c>
      <c r="BR44" s="33">
        <v>100900</v>
      </c>
      <c r="BS44" s="33">
        <v>0</v>
      </c>
    </row>
    <row r="45" s="5" customFormat="1" spans="1:71">
      <c r="A45" s="41" t="s">
        <v>122</v>
      </c>
      <c r="B45" s="42" t="s">
        <v>187</v>
      </c>
      <c r="C45" s="41" t="s">
        <v>188</v>
      </c>
      <c r="D45" s="41"/>
      <c r="E45" s="41">
        <v>1</v>
      </c>
      <c r="F45" s="43">
        <v>46142</v>
      </c>
      <c r="G45" s="41" t="s">
        <v>141</v>
      </c>
      <c r="H45" s="35">
        <v>51000</v>
      </c>
      <c r="I45" s="33" t="s">
        <v>185</v>
      </c>
      <c r="J45" s="33">
        <v>30</v>
      </c>
      <c r="K45" s="33">
        <v>30</v>
      </c>
      <c r="L45" s="33" t="s">
        <v>88</v>
      </c>
      <c r="M45" s="36"/>
      <c r="N45" s="36"/>
      <c r="O45" s="36"/>
      <c r="P45" s="36"/>
      <c r="Q45" s="36"/>
      <c r="R45" s="36"/>
      <c r="S45" s="36"/>
      <c r="T45" s="35"/>
      <c r="U45" s="35"/>
      <c r="V45" s="35"/>
      <c r="W45" s="35"/>
      <c r="X45" s="35"/>
      <c r="Y45" s="36">
        <v>66100</v>
      </c>
      <c r="Z45" s="36">
        <v>22600</v>
      </c>
      <c r="AA45" s="36">
        <v>22700</v>
      </c>
      <c r="AB45" s="36">
        <v>5700</v>
      </c>
      <c r="AC45" s="36">
        <v>15100</v>
      </c>
      <c r="AD45" s="36">
        <v>0</v>
      </c>
      <c r="AE45" s="36">
        <v>0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6">
        <v>0</v>
      </c>
      <c r="AL45" s="36">
        <v>0</v>
      </c>
      <c r="AM45" s="36"/>
      <c r="AN45" s="36">
        <v>51000</v>
      </c>
      <c r="AO45" s="36">
        <v>22600</v>
      </c>
      <c r="AP45" s="36">
        <v>22700</v>
      </c>
      <c r="AQ45" s="36">
        <v>5700</v>
      </c>
      <c r="AR45" s="36">
        <v>15100</v>
      </c>
      <c r="AS45" s="36">
        <v>11300</v>
      </c>
      <c r="AT45" s="36">
        <v>11300</v>
      </c>
      <c r="AU45" s="36">
        <v>39700</v>
      </c>
      <c r="AV45" s="36">
        <v>11300</v>
      </c>
      <c r="AW45" s="36">
        <v>0</v>
      </c>
      <c r="AX45" s="36">
        <v>11000</v>
      </c>
      <c r="AY45" s="36">
        <v>6000</v>
      </c>
      <c r="AZ45" s="36">
        <v>32000</v>
      </c>
      <c r="BA45" s="36">
        <v>0</v>
      </c>
      <c r="BB45" s="36" t="s">
        <v>98</v>
      </c>
      <c r="BC45" s="36">
        <v>0</v>
      </c>
      <c r="BD45" s="36">
        <v>22600</v>
      </c>
      <c r="BE45" s="36">
        <v>0</v>
      </c>
      <c r="BF45" s="33" t="s">
        <v>141</v>
      </c>
      <c r="BG45" s="36">
        <v>22600</v>
      </c>
      <c r="BH45" s="36">
        <v>22700</v>
      </c>
      <c r="BI45" s="36">
        <v>5700</v>
      </c>
      <c r="BJ45" s="36">
        <v>15100</v>
      </c>
      <c r="BK45" s="36">
        <v>0</v>
      </c>
      <c r="BL45" s="36">
        <v>0</v>
      </c>
      <c r="BM45" s="36">
        <v>0</v>
      </c>
      <c r="BN45" s="33">
        <v>22600</v>
      </c>
      <c r="BO45" s="33">
        <v>22700</v>
      </c>
      <c r="BP45" s="33">
        <v>22600</v>
      </c>
      <c r="BQ45" s="33">
        <v>0</v>
      </c>
      <c r="BR45" s="33">
        <v>66100</v>
      </c>
      <c r="BS45" s="33">
        <v>0</v>
      </c>
    </row>
    <row r="46" s="5" customFormat="1" spans="1:71">
      <c r="A46" s="41" t="s">
        <v>122</v>
      </c>
      <c r="B46" s="42" t="s">
        <v>189</v>
      </c>
      <c r="C46" s="41" t="s">
        <v>190</v>
      </c>
      <c r="D46" s="41"/>
      <c r="E46" s="41">
        <v>1</v>
      </c>
      <c r="F46" s="43">
        <v>46142</v>
      </c>
      <c r="G46" s="41" t="s">
        <v>141</v>
      </c>
      <c r="H46" s="35">
        <v>370875</v>
      </c>
      <c r="I46" s="33" t="s">
        <v>185</v>
      </c>
      <c r="J46" s="33">
        <v>30</v>
      </c>
      <c r="K46" s="33">
        <v>30</v>
      </c>
      <c r="L46" s="33" t="s">
        <v>112</v>
      </c>
      <c r="M46" s="36"/>
      <c r="N46" s="36"/>
      <c r="O46" s="36"/>
      <c r="P46" s="36"/>
      <c r="Q46" s="36"/>
      <c r="R46" s="36"/>
      <c r="S46" s="36"/>
      <c r="T46" s="35"/>
      <c r="U46" s="35"/>
      <c r="V46" s="35"/>
      <c r="W46" s="35"/>
      <c r="X46" s="35"/>
      <c r="Y46" s="36">
        <v>793439.29</v>
      </c>
      <c r="Z46" s="36">
        <v>131000</v>
      </c>
      <c r="AA46" s="36">
        <v>875</v>
      </c>
      <c r="AB46" s="36">
        <v>239000</v>
      </c>
      <c r="AC46" s="36">
        <v>422000</v>
      </c>
      <c r="AD46" s="36">
        <v>564.290000000037</v>
      </c>
      <c r="AE46" s="36">
        <v>0</v>
      </c>
      <c r="AF46" s="36">
        <v>0</v>
      </c>
      <c r="AG46" s="36">
        <v>0</v>
      </c>
      <c r="AH46" s="36">
        <v>0</v>
      </c>
      <c r="AI46" s="36">
        <v>0</v>
      </c>
      <c r="AJ46" s="36">
        <v>0</v>
      </c>
      <c r="AK46" s="36">
        <v>0</v>
      </c>
      <c r="AL46" s="36">
        <v>0</v>
      </c>
      <c r="AM46" s="36"/>
      <c r="AN46" s="36">
        <v>370875</v>
      </c>
      <c r="AO46" s="36">
        <v>131000</v>
      </c>
      <c r="AP46" s="36">
        <v>875</v>
      </c>
      <c r="AQ46" s="36">
        <v>239000</v>
      </c>
      <c r="AR46" s="36">
        <v>422000</v>
      </c>
      <c r="AS46" s="36">
        <v>107000</v>
      </c>
      <c r="AT46" s="36">
        <v>661600</v>
      </c>
      <c r="AU46" s="36">
        <v>0</v>
      </c>
      <c r="AV46" s="36">
        <v>32500</v>
      </c>
      <c r="AW46" s="36">
        <v>92500</v>
      </c>
      <c r="AX46" s="36">
        <v>74500</v>
      </c>
      <c r="AY46" s="36">
        <v>172000</v>
      </c>
      <c r="AZ46" s="36">
        <v>99500</v>
      </c>
      <c r="BA46" s="36">
        <v>6500</v>
      </c>
      <c r="BB46" s="36" t="s">
        <v>98</v>
      </c>
      <c r="BC46" s="36">
        <v>0</v>
      </c>
      <c r="BD46" s="36">
        <v>768035.71</v>
      </c>
      <c r="BE46" s="36">
        <v>51500</v>
      </c>
      <c r="BF46" s="33" t="s">
        <v>141</v>
      </c>
      <c r="BG46" s="36">
        <v>131000</v>
      </c>
      <c r="BH46" s="36">
        <v>875</v>
      </c>
      <c r="BI46" s="36">
        <v>239000</v>
      </c>
      <c r="BJ46" s="36">
        <v>422000</v>
      </c>
      <c r="BK46" s="36">
        <v>564.290000000037</v>
      </c>
      <c r="BL46" s="36">
        <v>0</v>
      </c>
      <c r="BM46" s="36">
        <v>0</v>
      </c>
      <c r="BN46" s="33">
        <v>131000</v>
      </c>
      <c r="BO46" s="33">
        <v>875</v>
      </c>
      <c r="BP46" s="33">
        <v>768035.71</v>
      </c>
      <c r="BQ46" s="33">
        <v>0</v>
      </c>
      <c r="BR46" s="33">
        <v>793439.29</v>
      </c>
      <c r="BS46" s="33">
        <v>51500</v>
      </c>
    </row>
    <row r="47" s="5" customFormat="1" spans="1:71">
      <c r="A47" s="33" t="s">
        <v>84</v>
      </c>
      <c r="B47" s="33" t="s">
        <v>191</v>
      </c>
      <c r="C47" s="33" t="s">
        <v>192</v>
      </c>
      <c r="D47" s="33"/>
      <c r="E47" s="48">
        <v>2</v>
      </c>
      <c r="F47" s="34">
        <v>46142</v>
      </c>
      <c r="G47" s="33" t="s">
        <v>141</v>
      </c>
      <c r="H47" s="35">
        <v>713856</v>
      </c>
      <c r="I47" s="33" t="s">
        <v>193</v>
      </c>
      <c r="J47" s="33">
        <v>90</v>
      </c>
      <c r="K47" s="33">
        <v>90</v>
      </c>
      <c r="L47" s="33" t="s">
        <v>112</v>
      </c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5"/>
      <c r="Y47" s="36">
        <v>1824082.4</v>
      </c>
      <c r="Z47" s="36">
        <v>426720</v>
      </c>
      <c r="AA47" s="36">
        <v>0</v>
      </c>
      <c r="AB47" s="36">
        <v>287136</v>
      </c>
      <c r="AC47" s="36">
        <v>528960</v>
      </c>
      <c r="AD47" s="36">
        <v>460480</v>
      </c>
      <c r="AE47" s="36">
        <v>120786.4</v>
      </c>
      <c r="AF47" s="36">
        <v>0</v>
      </c>
      <c r="AG47" s="36">
        <v>0</v>
      </c>
      <c r="AH47" s="36">
        <v>0</v>
      </c>
      <c r="AI47" s="36">
        <v>0</v>
      </c>
      <c r="AJ47" s="36">
        <v>0</v>
      </c>
      <c r="AK47" s="36">
        <v>0</v>
      </c>
      <c r="AL47" s="36">
        <v>0</v>
      </c>
      <c r="AM47" s="36"/>
      <c r="AN47" s="36">
        <v>713856</v>
      </c>
      <c r="AO47" s="36">
        <v>426720</v>
      </c>
      <c r="AP47" s="36">
        <v>0</v>
      </c>
      <c r="AQ47" s="36">
        <v>287136</v>
      </c>
      <c r="AR47" s="36">
        <v>528960</v>
      </c>
      <c r="AS47" s="36">
        <v>460480</v>
      </c>
      <c r="AT47" s="36">
        <v>351876</v>
      </c>
      <c r="AU47" s="36">
        <v>427366.4</v>
      </c>
      <c r="AV47" s="36">
        <v>307480</v>
      </c>
      <c r="AW47" s="36">
        <v>242560</v>
      </c>
      <c r="AX47" s="36">
        <v>691464</v>
      </c>
      <c r="AY47" s="36">
        <v>0</v>
      </c>
      <c r="AZ47" s="36">
        <v>0</v>
      </c>
      <c r="BA47" s="36">
        <v>181440</v>
      </c>
      <c r="BB47" s="36" t="s">
        <v>98</v>
      </c>
      <c r="BC47" s="36">
        <v>0</v>
      </c>
      <c r="BD47" s="36">
        <v>960000</v>
      </c>
      <c r="BE47" s="36">
        <v>326272</v>
      </c>
      <c r="BF47" s="33" t="s">
        <v>141</v>
      </c>
      <c r="BG47" s="36">
        <v>426720</v>
      </c>
      <c r="BH47" s="36">
        <v>0</v>
      </c>
      <c r="BI47" s="36">
        <v>287136</v>
      </c>
      <c r="BJ47" s="36">
        <v>528960</v>
      </c>
      <c r="BK47" s="36">
        <v>460480</v>
      </c>
      <c r="BL47" s="36">
        <v>120786.4</v>
      </c>
      <c r="BM47" s="36">
        <v>0</v>
      </c>
      <c r="BN47" s="33">
        <v>426720</v>
      </c>
      <c r="BO47" s="33">
        <v>0</v>
      </c>
      <c r="BP47" s="33">
        <v>960000</v>
      </c>
      <c r="BQ47" s="33">
        <v>0</v>
      </c>
      <c r="BR47" s="33">
        <v>1824082.4</v>
      </c>
      <c r="BS47" s="33">
        <v>326272</v>
      </c>
    </row>
    <row r="48" s="5" customFormat="1" spans="1:71">
      <c r="A48" s="41" t="s">
        <v>84</v>
      </c>
      <c r="B48" s="42" t="s">
        <v>194</v>
      </c>
      <c r="C48" s="41" t="s">
        <v>195</v>
      </c>
      <c r="D48" s="41"/>
      <c r="E48" s="45">
        <v>2</v>
      </c>
      <c r="F48" s="43">
        <v>46142</v>
      </c>
      <c r="G48" s="41" t="s">
        <v>141</v>
      </c>
      <c r="H48" s="35">
        <v>0</v>
      </c>
      <c r="I48" s="33" t="s">
        <v>196</v>
      </c>
      <c r="J48" s="33">
        <v>30</v>
      </c>
      <c r="K48" s="33">
        <v>30</v>
      </c>
      <c r="L48" s="33" t="s">
        <v>88</v>
      </c>
      <c r="M48" s="36"/>
      <c r="N48" s="36"/>
      <c r="O48" s="36"/>
      <c r="P48" s="36"/>
      <c r="Q48" s="36"/>
      <c r="R48" s="36"/>
      <c r="S48" s="36"/>
      <c r="T48" s="35"/>
      <c r="U48" s="35"/>
      <c r="V48" s="35"/>
      <c r="W48" s="35"/>
      <c r="X48" s="35"/>
      <c r="Y48" s="36">
        <v>0</v>
      </c>
      <c r="Z48" s="36">
        <v>0</v>
      </c>
      <c r="AA48" s="36">
        <v>0</v>
      </c>
      <c r="AB48" s="36">
        <v>0</v>
      </c>
      <c r="AC48" s="36">
        <v>0</v>
      </c>
      <c r="AD48" s="36">
        <v>0</v>
      </c>
      <c r="AE48" s="36">
        <v>0</v>
      </c>
      <c r="AF48" s="36">
        <v>0</v>
      </c>
      <c r="AG48" s="36">
        <v>0</v>
      </c>
      <c r="AH48" s="36">
        <v>0</v>
      </c>
      <c r="AI48" s="36">
        <v>0</v>
      </c>
      <c r="AJ48" s="36">
        <v>0</v>
      </c>
      <c r="AK48" s="36">
        <v>0</v>
      </c>
      <c r="AL48" s="36">
        <v>0</v>
      </c>
      <c r="AM48" s="36"/>
      <c r="AN48" s="36">
        <v>0</v>
      </c>
      <c r="AO48" s="36">
        <v>0</v>
      </c>
      <c r="AP48" s="36">
        <v>0</v>
      </c>
      <c r="AQ48" s="36">
        <v>0</v>
      </c>
      <c r="AR48" s="36">
        <v>2802.8</v>
      </c>
      <c r="AS48" s="36">
        <v>0</v>
      </c>
      <c r="AT48" s="36">
        <v>2857.4</v>
      </c>
      <c r="AU48" s="36">
        <v>0</v>
      </c>
      <c r="AV48" s="36">
        <v>0</v>
      </c>
      <c r="AW48" s="36">
        <v>3248</v>
      </c>
      <c r="AX48" s="36">
        <v>0</v>
      </c>
      <c r="AY48" s="36">
        <v>0</v>
      </c>
      <c r="AZ48" s="36">
        <v>1430</v>
      </c>
      <c r="BA48" s="36">
        <v>0</v>
      </c>
      <c r="BB48" s="36" t="s">
        <v>98</v>
      </c>
      <c r="BC48" s="36">
        <v>0</v>
      </c>
      <c r="BD48" s="36">
        <v>2802.8</v>
      </c>
      <c r="BE48" s="36">
        <v>2730</v>
      </c>
      <c r="BF48" s="33" t="s">
        <v>141</v>
      </c>
      <c r="BG48" s="36">
        <v>0</v>
      </c>
      <c r="BH48" s="36">
        <v>0</v>
      </c>
      <c r="BI48" s="36">
        <v>0</v>
      </c>
      <c r="BJ48" s="36">
        <v>0</v>
      </c>
      <c r="BK48" s="36">
        <v>0</v>
      </c>
      <c r="BL48" s="36">
        <v>0</v>
      </c>
      <c r="BM48" s="36">
        <v>0</v>
      </c>
      <c r="BN48" s="33">
        <v>0</v>
      </c>
      <c r="BO48" s="33">
        <v>0</v>
      </c>
      <c r="BP48" s="33">
        <v>2802.8</v>
      </c>
      <c r="BQ48" s="33">
        <v>0</v>
      </c>
      <c r="BR48" s="33">
        <v>0</v>
      </c>
      <c r="BS48" s="33">
        <v>2730</v>
      </c>
    </row>
    <row r="49" s="5" customFormat="1" spans="1:71">
      <c r="A49" s="41" t="s">
        <v>84</v>
      </c>
      <c r="B49" s="42" t="s">
        <v>197</v>
      </c>
      <c r="C49" s="41" t="s">
        <v>198</v>
      </c>
      <c r="D49" s="41"/>
      <c r="E49" s="41">
        <v>0</v>
      </c>
      <c r="F49" s="43">
        <v>46127</v>
      </c>
      <c r="G49" s="41" t="s">
        <v>141</v>
      </c>
      <c r="H49" s="35">
        <v>723874.2</v>
      </c>
      <c r="I49" s="33" t="s">
        <v>199</v>
      </c>
      <c r="J49" s="33">
        <v>60</v>
      </c>
      <c r="K49" s="33">
        <v>60</v>
      </c>
      <c r="L49" s="33" t="s">
        <v>88</v>
      </c>
      <c r="M49" s="36"/>
      <c r="N49" s="36"/>
      <c r="O49" s="36"/>
      <c r="P49" s="36"/>
      <c r="Q49" s="36"/>
      <c r="R49" s="36"/>
      <c r="S49" s="36"/>
      <c r="T49" s="35"/>
      <c r="U49" s="35"/>
      <c r="V49" s="35"/>
      <c r="W49" s="35"/>
      <c r="X49" s="35"/>
      <c r="Y49" s="36">
        <v>391255.95</v>
      </c>
      <c r="Z49" s="36">
        <v>119426.95</v>
      </c>
      <c r="AA49" s="36">
        <v>271829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>
        <v>0</v>
      </c>
      <c r="AH49" s="36">
        <v>0</v>
      </c>
      <c r="AI49" s="36">
        <v>0</v>
      </c>
      <c r="AJ49" s="36">
        <v>0</v>
      </c>
      <c r="AK49" s="36">
        <v>0</v>
      </c>
      <c r="AL49" s="36">
        <v>0</v>
      </c>
      <c r="AM49" s="36"/>
      <c r="AN49" s="36">
        <v>723874.2</v>
      </c>
      <c r="AO49" s="36">
        <v>119426.95</v>
      </c>
      <c r="AP49" s="36">
        <v>271829</v>
      </c>
      <c r="AQ49" s="36">
        <v>332618.25</v>
      </c>
      <c r="AR49" s="36">
        <v>46532.5</v>
      </c>
      <c r="AS49" s="36">
        <v>338838.65</v>
      </c>
      <c r="AT49" s="36">
        <v>43943.4</v>
      </c>
      <c r="AU49" s="36">
        <v>234190.49</v>
      </c>
      <c r="AV49" s="36">
        <v>356667</v>
      </c>
      <c r="AW49" s="36">
        <v>0</v>
      </c>
      <c r="AX49" s="36">
        <v>240934.5</v>
      </c>
      <c r="AY49" s="36">
        <v>250811</v>
      </c>
      <c r="AZ49" s="36">
        <v>223516.75</v>
      </c>
      <c r="BA49" s="36">
        <v>0</v>
      </c>
      <c r="BB49" s="36" t="s">
        <v>98</v>
      </c>
      <c r="BC49" s="36">
        <v>374252.54</v>
      </c>
      <c r="BD49" s="36">
        <v>754252.54</v>
      </c>
      <c r="BE49" s="36">
        <v>0</v>
      </c>
      <c r="BF49" s="33" t="s">
        <v>141</v>
      </c>
      <c r="BG49" s="36">
        <v>119426.95</v>
      </c>
      <c r="BH49" s="36">
        <v>271829</v>
      </c>
      <c r="BI49" s="36">
        <v>0</v>
      </c>
      <c r="BJ49" s="36">
        <v>0</v>
      </c>
      <c r="BK49" s="36">
        <v>0</v>
      </c>
      <c r="BL49" s="36">
        <v>0</v>
      </c>
      <c r="BM49" s="36">
        <v>0</v>
      </c>
      <c r="BN49" s="33">
        <v>119426.95</v>
      </c>
      <c r="BO49" s="33">
        <v>271829</v>
      </c>
      <c r="BP49" s="33">
        <v>754252.54</v>
      </c>
      <c r="BQ49" s="33">
        <v>374252.54</v>
      </c>
      <c r="BR49" s="33">
        <v>391255.95</v>
      </c>
      <c r="BS49" s="33">
        <v>0</v>
      </c>
    </row>
    <row r="50" s="5" customFormat="1" spans="1:71">
      <c r="A50" s="33" t="s">
        <v>84</v>
      </c>
      <c r="B50" s="33" t="s">
        <v>200</v>
      </c>
      <c r="C50" s="33" t="s">
        <v>201</v>
      </c>
      <c r="D50" s="33"/>
      <c r="E50" s="41">
        <v>1</v>
      </c>
      <c r="F50" s="43">
        <v>46142</v>
      </c>
      <c r="G50" s="33" t="s">
        <v>141</v>
      </c>
      <c r="H50" s="35">
        <v>18800</v>
      </c>
      <c r="I50" s="33" t="s">
        <v>127</v>
      </c>
      <c r="J50" s="33">
        <v>7</v>
      </c>
      <c r="K50" s="33">
        <v>7</v>
      </c>
      <c r="L50" s="33" t="s">
        <v>88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5"/>
      <c r="Y50" s="36">
        <v>18800</v>
      </c>
      <c r="Z50" s="36">
        <v>0</v>
      </c>
      <c r="AA50" s="36">
        <v>0</v>
      </c>
      <c r="AB50" s="36">
        <v>18800</v>
      </c>
      <c r="AC50" s="36">
        <v>0</v>
      </c>
      <c r="AD50" s="36">
        <v>0</v>
      </c>
      <c r="AE50" s="36">
        <v>0</v>
      </c>
      <c r="AF50" s="36">
        <v>0</v>
      </c>
      <c r="AG50" s="36">
        <v>0</v>
      </c>
      <c r="AH50" s="36">
        <v>0</v>
      </c>
      <c r="AI50" s="36">
        <v>0</v>
      </c>
      <c r="AJ50" s="36">
        <v>0</v>
      </c>
      <c r="AK50" s="36">
        <v>0</v>
      </c>
      <c r="AL50" s="36">
        <v>0</v>
      </c>
      <c r="AM50" s="36"/>
      <c r="AN50" s="36">
        <v>18800</v>
      </c>
      <c r="AO50" s="36">
        <v>0</v>
      </c>
      <c r="AP50" s="36">
        <v>0</v>
      </c>
      <c r="AQ50" s="36">
        <v>18800</v>
      </c>
      <c r="AR50" s="36">
        <v>0</v>
      </c>
      <c r="AS50" s="36">
        <v>14100</v>
      </c>
      <c r="AT50" s="36">
        <v>14100</v>
      </c>
      <c r="AU50" s="36">
        <v>18800</v>
      </c>
      <c r="AV50" s="36">
        <v>10467.5</v>
      </c>
      <c r="AW50" s="36">
        <v>0</v>
      </c>
      <c r="AX50" s="36">
        <v>0</v>
      </c>
      <c r="AY50" s="36">
        <v>0</v>
      </c>
      <c r="AZ50" s="36">
        <v>0</v>
      </c>
      <c r="BA50" s="36">
        <v>0</v>
      </c>
      <c r="BB50" s="36" t="s">
        <v>98</v>
      </c>
      <c r="BC50" s="36">
        <v>0</v>
      </c>
      <c r="BD50" s="36">
        <v>0</v>
      </c>
      <c r="BE50" s="36">
        <v>0</v>
      </c>
      <c r="BF50" s="33" t="s">
        <v>141</v>
      </c>
      <c r="BG50" s="36">
        <v>0</v>
      </c>
      <c r="BH50" s="36">
        <v>0</v>
      </c>
      <c r="BI50" s="36">
        <v>18800</v>
      </c>
      <c r="BJ50" s="36">
        <v>0</v>
      </c>
      <c r="BK50" s="36">
        <v>0</v>
      </c>
      <c r="BL50" s="36">
        <v>0</v>
      </c>
      <c r="BM50" s="36">
        <v>0</v>
      </c>
      <c r="BN50" s="33">
        <v>0</v>
      </c>
      <c r="BO50" s="33">
        <v>0</v>
      </c>
      <c r="BP50" s="33">
        <v>0</v>
      </c>
      <c r="BQ50" s="33">
        <v>0</v>
      </c>
      <c r="BR50" s="33">
        <v>18800</v>
      </c>
      <c r="BS50" s="33">
        <v>0</v>
      </c>
    </row>
    <row r="51" s="5" customFormat="1" spans="1:71">
      <c r="A51" s="33" t="s">
        <v>84</v>
      </c>
      <c r="B51" s="33" t="s">
        <v>202</v>
      </c>
      <c r="C51" s="33" t="s">
        <v>203</v>
      </c>
      <c r="D51" s="33"/>
      <c r="E51" s="41">
        <v>1</v>
      </c>
      <c r="F51" s="43">
        <v>46132</v>
      </c>
      <c r="G51" s="33" t="s">
        <v>141</v>
      </c>
      <c r="H51" s="35">
        <v>442600</v>
      </c>
      <c r="I51" s="33" t="s">
        <v>153</v>
      </c>
      <c r="J51" s="33">
        <v>30</v>
      </c>
      <c r="K51" s="33">
        <v>30</v>
      </c>
      <c r="L51" s="33" t="s">
        <v>88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5"/>
      <c r="Y51" s="36">
        <v>442330.75</v>
      </c>
      <c r="Z51" s="36">
        <v>0</v>
      </c>
      <c r="AA51" s="36">
        <v>149800</v>
      </c>
      <c r="AB51" s="36">
        <v>292530.75</v>
      </c>
      <c r="AC51" s="36">
        <v>0</v>
      </c>
      <c r="AD51" s="36">
        <v>0</v>
      </c>
      <c r="AE51" s="36">
        <v>0</v>
      </c>
      <c r="AF51" s="36">
        <v>0</v>
      </c>
      <c r="AG51" s="36">
        <v>0</v>
      </c>
      <c r="AH51" s="36">
        <v>0</v>
      </c>
      <c r="AI51" s="36">
        <v>0</v>
      </c>
      <c r="AJ51" s="36">
        <v>0</v>
      </c>
      <c r="AK51" s="36">
        <v>0</v>
      </c>
      <c r="AL51" s="36">
        <v>0</v>
      </c>
      <c r="AM51" s="36"/>
      <c r="AN51" s="36">
        <v>442600</v>
      </c>
      <c r="AO51" s="36">
        <v>0</v>
      </c>
      <c r="AP51" s="36">
        <v>149800</v>
      </c>
      <c r="AQ51" s="36">
        <v>292800</v>
      </c>
      <c r="AR51" s="36">
        <v>48100</v>
      </c>
      <c r="AS51" s="36">
        <v>86830</v>
      </c>
      <c r="AT51" s="36">
        <v>151704</v>
      </c>
      <c r="AU51" s="36">
        <v>0</v>
      </c>
      <c r="AV51" s="36">
        <v>73200</v>
      </c>
      <c r="AW51" s="36">
        <v>0</v>
      </c>
      <c r="AX51" s="36">
        <v>0</v>
      </c>
      <c r="AY51" s="36">
        <v>48800</v>
      </c>
      <c r="AZ51" s="36">
        <v>2700</v>
      </c>
      <c r="BA51" s="36">
        <v>50700</v>
      </c>
      <c r="BB51" s="36" t="s">
        <v>98</v>
      </c>
      <c r="BC51" s="36">
        <v>45000</v>
      </c>
      <c r="BD51" s="36">
        <v>135199.25</v>
      </c>
      <c r="BE51" s="36">
        <v>48800</v>
      </c>
      <c r="BF51" s="33" t="s">
        <v>141</v>
      </c>
      <c r="BG51" s="36">
        <v>0</v>
      </c>
      <c r="BH51" s="36">
        <v>149800</v>
      </c>
      <c r="BI51" s="36">
        <v>292530.75</v>
      </c>
      <c r="BJ51" s="36">
        <v>0</v>
      </c>
      <c r="BK51" s="36">
        <v>0</v>
      </c>
      <c r="BL51" s="36">
        <v>0</v>
      </c>
      <c r="BM51" s="36">
        <v>0</v>
      </c>
      <c r="BN51" s="33">
        <v>0</v>
      </c>
      <c r="BO51" s="33">
        <v>149800</v>
      </c>
      <c r="BP51" s="33">
        <v>135199.25</v>
      </c>
      <c r="BQ51" s="33">
        <v>45000</v>
      </c>
      <c r="BR51" s="33">
        <v>442330.75</v>
      </c>
      <c r="BS51" s="33">
        <v>48800</v>
      </c>
    </row>
    <row r="52" s="5" customFormat="1" spans="1:71">
      <c r="A52" s="37" t="s">
        <v>91</v>
      </c>
      <c r="B52" s="37" t="s">
        <v>204</v>
      </c>
      <c r="C52" s="37" t="s">
        <v>205</v>
      </c>
      <c r="D52" s="37" t="s">
        <v>79</v>
      </c>
      <c r="E52" s="37">
        <v>0</v>
      </c>
      <c r="F52" s="38">
        <v>46142</v>
      </c>
      <c r="G52" s="37" t="s">
        <v>94</v>
      </c>
      <c r="H52" s="39">
        <v>100</v>
      </c>
      <c r="I52" s="37" t="s">
        <v>206</v>
      </c>
      <c r="J52" s="37">
        <v>30</v>
      </c>
      <c r="K52" s="37">
        <v>60</v>
      </c>
      <c r="L52" s="37" t="s">
        <v>112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39"/>
      <c r="Y52" s="40">
        <v>280000</v>
      </c>
      <c r="Z52" s="40">
        <v>100000</v>
      </c>
      <c r="AA52" s="40">
        <v>80000</v>
      </c>
      <c r="AB52" s="40">
        <v>100000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/>
      <c r="AN52" s="40">
        <v>100</v>
      </c>
      <c r="AO52" s="40">
        <v>0</v>
      </c>
      <c r="AP52" s="40">
        <v>0</v>
      </c>
      <c r="AQ52" s="40">
        <v>100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 t="s">
        <v>98</v>
      </c>
      <c r="BC52" s="40">
        <v>0</v>
      </c>
      <c r="BD52" s="40">
        <v>0</v>
      </c>
      <c r="BE52" s="40">
        <v>0</v>
      </c>
      <c r="BF52" s="37" t="s">
        <v>94</v>
      </c>
      <c r="BG52" s="40">
        <v>0</v>
      </c>
      <c r="BH52" s="40">
        <v>0</v>
      </c>
      <c r="BI52" s="40">
        <v>100</v>
      </c>
      <c r="BJ52" s="40">
        <v>0</v>
      </c>
      <c r="BK52" s="40">
        <v>0</v>
      </c>
      <c r="BL52" s="40">
        <v>0</v>
      </c>
      <c r="BM52" s="40">
        <v>0</v>
      </c>
      <c r="BN52" s="37">
        <v>0</v>
      </c>
      <c r="BO52" s="37">
        <v>0</v>
      </c>
      <c r="BP52" s="37">
        <v>0</v>
      </c>
      <c r="BQ52" s="37">
        <v>0</v>
      </c>
      <c r="BR52" s="37">
        <v>100</v>
      </c>
      <c r="BS52" s="37">
        <v>0</v>
      </c>
    </row>
    <row r="53" s="5" customFormat="1" spans="1:71">
      <c r="A53" s="41" t="s">
        <v>84</v>
      </c>
      <c r="B53" s="42" t="s">
        <v>207</v>
      </c>
      <c r="C53" s="41" t="s">
        <v>208</v>
      </c>
      <c r="D53" s="41"/>
      <c r="E53" s="41">
        <v>1</v>
      </c>
      <c r="F53" s="43">
        <v>46142</v>
      </c>
      <c r="G53" s="41" t="s">
        <v>141</v>
      </c>
      <c r="H53" s="35">
        <v>0</v>
      </c>
      <c r="I53" s="33" t="s">
        <v>153</v>
      </c>
      <c r="J53" s="33">
        <v>60</v>
      </c>
      <c r="K53" s="33">
        <v>60</v>
      </c>
      <c r="L53" s="33" t="s">
        <v>88</v>
      </c>
      <c r="M53" s="36"/>
      <c r="N53" s="36"/>
      <c r="O53" s="36"/>
      <c r="P53" s="36"/>
      <c r="Q53" s="36"/>
      <c r="R53" s="36"/>
      <c r="S53" s="36"/>
      <c r="T53" s="35"/>
      <c r="U53" s="35"/>
      <c r="V53" s="35"/>
      <c r="W53" s="35"/>
      <c r="X53" s="35"/>
      <c r="Y53" s="36">
        <v>41400</v>
      </c>
      <c r="Z53" s="36">
        <v>0</v>
      </c>
      <c r="AA53" s="36">
        <v>0</v>
      </c>
      <c r="AB53" s="36">
        <v>0</v>
      </c>
      <c r="AC53" s="36">
        <v>41400</v>
      </c>
      <c r="AD53" s="36">
        <v>0</v>
      </c>
      <c r="AE53" s="36">
        <v>0</v>
      </c>
      <c r="AF53" s="36">
        <v>0</v>
      </c>
      <c r="AG53" s="36">
        <v>0</v>
      </c>
      <c r="AH53" s="36">
        <v>0</v>
      </c>
      <c r="AI53" s="36">
        <v>0</v>
      </c>
      <c r="AJ53" s="36">
        <v>0</v>
      </c>
      <c r="AK53" s="36">
        <v>0</v>
      </c>
      <c r="AL53" s="36">
        <v>0</v>
      </c>
      <c r="AM53" s="36"/>
      <c r="AN53" s="36">
        <v>0</v>
      </c>
      <c r="AO53" s="36">
        <v>0</v>
      </c>
      <c r="AP53" s="36">
        <v>0</v>
      </c>
      <c r="AQ53" s="36">
        <v>0</v>
      </c>
      <c r="AR53" s="36">
        <v>41400</v>
      </c>
      <c r="AS53" s="36">
        <v>0</v>
      </c>
      <c r="AT53" s="36">
        <v>2000</v>
      </c>
      <c r="AU53" s="36">
        <v>0</v>
      </c>
      <c r="AV53" s="36">
        <v>2500</v>
      </c>
      <c r="AW53" s="36">
        <v>0</v>
      </c>
      <c r="AX53" s="36">
        <v>0</v>
      </c>
      <c r="AY53" s="36">
        <v>0</v>
      </c>
      <c r="AZ53" s="36">
        <v>0</v>
      </c>
      <c r="BA53" s="36">
        <v>0</v>
      </c>
      <c r="BB53" s="36" t="s">
        <v>98</v>
      </c>
      <c r="BC53" s="36">
        <v>0</v>
      </c>
      <c r="BD53" s="36">
        <v>4500</v>
      </c>
      <c r="BE53" s="36">
        <v>0</v>
      </c>
      <c r="BF53" s="33" t="s">
        <v>141</v>
      </c>
      <c r="BG53" s="36">
        <v>0</v>
      </c>
      <c r="BH53" s="36">
        <v>0</v>
      </c>
      <c r="BI53" s="36">
        <v>0</v>
      </c>
      <c r="BJ53" s="36">
        <v>41400</v>
      </c>
      <c r="BK53" s="36">
        <v>0</v>
      </c>
      <c r="BL53" s="36">
        <v>0</v>
      </c>
      <c r="BM53" s="36">
        <v>0</v>
      </c>
      <c r="BN53" s="33">
        <v>0</v>
      </c>
      <c r="BO53" s="33">
        <v>0</v>
      </c>
      <c r="BP53" s="33">
        <v>4500</v>
      </c>
      <c r="BQ53" s="33">
        <v>0</v>
      </c>
      <c r="BR53" s="33">
        <v>41400</v>
      </c>
      <c r="BS53" s="33">
        <v>0</v>
      </c>
    </row>
    <row r="54" s="5" customFormat="1" spans="1:71">
      <c r="A54" s="49" t="s">
        <v>122</v>
      </c>
      <c r="B54" s="50" t="s">
        <v>209</v>
      </c>
      <c r="C54" s="49" t="s">
        <v>210</v>
      </c>
      <c r="D54" s="49"/>
      <c r="E54" s="49">
        <v>0</v>
      </c>
      <c r="F54" s="51">
        <v>46132</v>
      </c>
      <c r="G54" s="49" t="s">
        <v>94</v>
      </c>
      <c r="H54" s="39">
        <v>265200</v>
      </c>
      <c r="I54" s="37" t="s">
        <v>130</v>
      </c>
      <c r="J54" s="37">
        <v>90</v>
      </c>
      <c r="K54" s="37">
        <v>90</v>
      </c>
      <c r="L54" s="37" t="s">
        <v>112</v>
      </c>
      <c r="M54" s="40"/>
      <c r="N54" s="40"/>
      <c r="O54" s="40"/>
      <c r="P54" s="40"/>
      <c r="Q54" s="40"/>
      <c r="R54" s="40"/>
      <c r="S54" s="40"/>
      <c r="T54" s="39"/>
      <c r="U54" s="39"/>
      <c r="V54" s="39"/>
      <c r="W54" s="39"/>
      <c r="X54" s="39"/>
      <c r="Y54" s="40">
        <v>537171.05</v>
      </c>
      <c r="Z54" s="40">
        <v>136000</v>
      </c>
      <c r="AA54" s="40">
        <v>0</v>
      </c>
      <c r="AB54" s="40">
        <v>129200</v>
      </c>
      <c r="AC54" s="40">
        <v>271971.05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/>
      <c r="AN54" s="40">
        <v>265200</v>
      </c>
      <c r="AO54" s="40">
        <v>136000</v>
      </c>
      <c r="AP54" s="40">
        <v>0</v>
      </c>
      <c r="AQ54" s="40">
        <v>129200</v>
      </c>
      <c r="AR54" s="40">
        <v>272000</v>
      </c>
      <c r="AS54" s="40">
        <v>68000</v>
      </c>
      <c r="AT54" s="40">
        <v>0</v>
      </c>
      <c r="AU54" s="40">
        <v>204000</v>
      </c>
      <c r="AV54" s="40">
        <v>209000</v>
      </c>
      <c r="AW54" s="40">
        <v>34653.1</v>
      </c>
      <c r="AX54" s="40">
        <v>240900</v>
      </c>
      <c r="AY54" s="40">
        <v>0</v>
      </c>
      <c r="AZ54" s="40">
        <v>0</v>
      </c>
      <c r="BA54" s="40">
        <v>0</v>
      </c>
      <c r="BB54" s="40" t="s">
        <v>98</v>
      </c>
      <c r="BC54" s="40">
        <v>61888.76</v>
      </c>
      <c r="BD54" s="40">
        <v>381888.76</v>
      </c>
      <c r="BE54" s="40">
        <v>0</v>
      </c>
      <c r="BF54" s="37" t="s">
        <v>94</v>
      </c>
      <c r="BG54" s="40">
        <v>136000</v>
      </c>
      <c r="BH54" s="40">
        <v>0</v>
      </c>
      <c r="BI54" s="40">
        <v>129200</v>
      </c>
      <c r="BJ54" s="40">
        <v>271971.05</v>
      </c>
      <c r="BK54" s="40">
        <v>0</v>
      </c>
      <c r="BL54" s="40">
        <v>0</v>
      </c>
      <c r="BM54" s="40">
        <v>0</v>
      </c>
      <c r="BN54" s="37">
        <v>136000</v>
      </c>
      <c r="BO54" s="37">
        <v>0</v>
      </c>
      <c r="BP54" s="37">
        <v>381888.76</v>
      </c>
      <c r="BQ54" s="37">
        <v>61888.76</v>
      </c>
      <c r="BR54" s="37">
        <v>537171.05</v>
      </c>
      <c r="BS54" s="37">
        <v>0</v>
      </c>
    </row>
    <row r="55" s="5" customFormat="1" spans="1:71">
      <c r="A55" s="41" t="s">
        <v>84</v>
      </c>
      <c r="B55" s="42" t="s">
        <v>211</v>
      </c>
      <c r="C55" s="41" t="s">
        <v>212</v>
      </c>
      <c r="D55" s="41" t="s">
        <v>78</v>
      </c>
      <c r="E55" s="41">
        <v>1</v>
      </c>
      <c r="F55" s="43">
        <v>46142</v>
      </c>
      <c r="G55" s="41" t="s">
        <v>141</v>
      </c>
      <c r="H55" s="35">
        <v>240360.4</v>
      </c>
      <c r="I55" s="33" t="s">
        <v>196</v>
      </c>
      <c r="J55" s="33">
        <v>180</v>
      </c>
      <c r="K55" s="33">
        <v>180</v>
      </c>
      <c r="L55" s="33" t="s">
        <v>88</v>
      </c>
      <c r="M55" s="36"/>
      <c r="N55" s="36"/>
      <c r="O55" s="36"/>
      <c r="P55" s="36"/>
      <c r="Q55" s="36"/>
      <c r="R55" s="36"/>
      <c r="S55" s="36"/>
      <c r="T55" s="35"/>
      <c r="U55" s="35"/>
      <c r="V55" s="35"/>
      <c r="W55" s="35"/>
      <c r="X55" s="35"/>
      <c r="Y55" s="36">
        <v>1487863</v>
      </c>
      <c r="Z55" s="36">
        <v>0</v>
      </c>
      <c r="AA55" s="36">
        <v>58360</v>
      </c>
      <c r="AB55" s="36">
        <v>182000.4</v>
      </c>
      <c r="AC55" s="36">
        <v>269077</v>
      </c>
      <c r="AD55" s="36">
        <v>297856.2</v>
      </c>
      <c r="AE55" s="36">
        <v>191478.6</v>
      </c>
      <c r="AF55" s="36">
        <v>298203.8</v>
      </c>
      <c r="AG55" s="36">
        <v>190887</v>
      </c>
      <c r="AH55" s="36">
        <v>0</v>
      </c>
      <c r="AI55" s="36">
        <v>0</v>
      </c>
      <c r="AJ55" s="36">
        <v>0</v>
      </c>
      <c r="AK55" s="36">
        <v>0</v>
      </c>
      <c r="AL55" s="36">
        <v>0</v>
      </c>
      <c r="AM55" s="36"/>
      <c r="AN55" s="36">
        <v>240360.4</v>
      </c>
      <c r="AO55" s="36">
        <v>0</v>
      </c>
      <c r="AP55" s="36">
        <v>58360</v>
      </c>
      <c r="AQ55" s="36">
        <v>182000.4</v>
      </c>
      <c r="AR55" s="36">
        <v>269077</v>
      </c>
      <c r="AS55" s="36">
        <v>297856.2</v>
      </c>
      <c r="AT55" s="36">
        <v>191478.6</v>
      </c>
      <c r="AU55" s="36">
        <v>298203.8</v>
      </c>
      <c r="AV55" s="36">
        <v>194395.8</v>
      </c>
      <c r="AW55" s="36">
        <v>281569</v>
      </c>
      <c r="AX55" s="36">
        <v>313065</v>
      </c>
      <c r="AY55" s="36">
        <v>228356.2</v>
      </c>
      <c r="AZ55" s="36">
        <v>313848</v>
      </c>
      <c r="BA55" s="36">
        <v>296105</v>
      </c>
      <c r="BB55" s="36" t="s">
        <v>98</v>
      </c>
      <c r="BC55" s="36">
        <v>285000</v>
      </c>
      <c r="BD55" s="36">
        <v>595000</v>
      </c>
      <c r="BE55" s="36">
        <v>0</v>
      </c>
      <c r="BF55" s="33" t="s">
        <v>141</v>
      </c>
      <c r="BG55" s="36">
        <v>0</v>
      </c>
      <c r="BH55" s="36">
        <v>58360</v>
      </c>
      <c r="BI55" s="36">
        <v>182000.4</v>
      </c>
      <c r="BJ55" s="36">
        <v>269077</v>
      </c>
      <c r="BK55" s="36">
        <v>297856.2</v>
      </c>
      <c r="BL55" s="36">
        <v>191478.6</v>
      </c>
      <c r="BM55" s="36">
        <v>489090.8</v>
      </c>
      <c r="BN55" s="33">
        <v>0</v>
      </c>
      <c r="BO55" s="33">
        <v>58360</v>
      </c>
      <c r="BP55" s="33">
        <v>595000</v>
      </c>
      <c r="BQ55" s="33">
        <v>285000</v>
      </c>
      <c r="BR55" s="33">
        <v>1487863</v>
      </c>
      <c r="BS55" s="33">
        <v>0</v>
      </c>
    </row>
    <row r="56" s="5" customFormat="1" spans="1:71">
      <c r="A56" s="41" t="s">
        <v>84</v>
      </c>
      <c r="B56" s="42" t="s">
        <v>213</v>
      </c>
      <c r="C56" s="41" t="s">
        <v>214</v>
      </c>
      <c r="D56" s="41"/>
      <c r="E56" s="41">
        <v>1</v>
      </c>
      <c r="F56" s="43">
        <v>46142</v>
      </c>
      <c r="G56" s="41" t="s">
        <v>141</v>
      </c>
      <c r="H56" s="35">
        <v>5423247.39</v>
      </c>
      <c r="I56" s="33" t="s">
        <v>215</v>
      </c>
      <c r="J56" s="33">
        <v>150</v>
      </c>
      <c r="K56" s="33">
        <v>150</v>
      </c>
      <c r="L56" s="33" t="s">
        <v>116</v>
      </c>
      <c r="M56" s="46"/>
      <c r="N56" s="46"/>
      <c r="O56" s="36"/>
      <c r="P56" s="36"/>
      <c r="Q56" s="36"/>
      <c r="R56" s="36"/>
      <c r="S56" s="36"/>
      <c r="T56" s="35"/>
      <c r="U56" s="35"/>
      <c r="V56" s="35"/>
      <c r="W56" s="35"/>
      <c r="X56" s="35"/>
      <c r="Y56" s="36">
        <v>9593323.87</v>
      </c>
      <c r="Z56" s="36">
        <v>2255371.36</v>
      </c>
      <c r="AA56" s="36">
        <v>1644765.37</v>
      </c>
      <c r="AB56" s="36">
        <v>1523110.66</v>
      </c>
      <c r="AC56" s="36">
        <v>2039006.06</v>
      </c>
      <c r="AD56" s="36">
        <v>1998484.56</v>
      </c>
      <c r="AE56" s="36">
        <v>132585.859999999</v>
      </c>
      <c r="AF56" s="36">
        <v>0</v>
      </c>
      <c r="AG56" s="36">
        <v>0</v>
      </c>
      <c r="AH56" s="36">
        <v>0</v>
      </c>
      <c r="AI56" s="36">
        <v>0</v>
      </c>
      <c r="AJ56" s="36">
        <v>0</v>
      </c>
      <c r="AK56" s="36">
        <v>0</v>
      </c>
      <c r="AL56" s="36">
        <v>0</v>
      </c>
      <c r="AM56" s="36"/>
      <c r="AN56" s="36">
        <v>5423247.39</v>
      </c>
      <c r="AO56" s="36">
        <v>2255371.36</v>
      </c>
      <c r="AP56" s="36">
        <v>1644765.37</v>
      </c>
      <c r="AQ56" s="36">
        <v>1523110.66</v>
      </c>
      <c r="AR56" s="36">
        <v>2039006.06</v>
      </c>
      <c r="AS56" s="36">
        <v>1998484.56</v>
      </c>
      <c r="AT56" s="36">
        <v>1765685.15</v>
      </c>
      <c r="AU56" s="36">
        <v>2690986.06</v>
      </c>
      <c r="AV56" s="36">
        <v>1814601.86</v>
      </c>
      <c r="AW56" s="36">
        <v>2000873.78</v>
      </c>
      <c r="AX56" s="36">
        <v>2878178.76</v>
      </c>
      <c r="AY56" s="36">
        <v>1946128.89</v>
      </c>
      <c r="AZ56" s="36">
        <v>2322670.43</v>
      </c>
      <c r="BA56" s="36">
        <v>2818793.69</v>
      </c>
      <c r="BB56" s="36" t="s">
        <v>98</v>
      </c>
      <c r="BC56" s="36">
        <v>0</v>
      </c>
      <c r="BD56" s="36">
        <v>1300000</v>
      </c>
      <c r="BE56" s="36">
        <v>0</v>
      </c>
      <c r="BF56" s="33" t="s">
        <v>141</v>
      </c>
      <c r="BG56" s="36">
        <v>2255371.36</v>
      </c>
      <c r="BH56" s="36">
        <v>1644765.37</v>
      </c>
      <c r="BI56" s="36">
        <v>1523110.66</v>
      </c>
      <c r="BJ56" s="36">
        <v>2039006.06</v>
      </c>
      <c r="BK56" s="36">
        <v>1998484.56</v>
      </c>
      <c r="BL56" s="36">
        <v>132585.859999999</v>
      </c>
      <c r="BM56" s="36">
        <v>0</v>
      </c>
      <c r="BN56" s="33">
        <v>2255371.36</v>
      </c>
      <c r="BO56" s="33">
        <v>1644765.37</v>
      </c>
      <c r="BP56" s="33">
        <v>1300000</v>
      </c>
      <c r="BQ56" s="33">
        <v>0</v>
      </c>
      <c r="BR56" s="33">
        <v>9593323.87</v>
      </c>
      <c r="BS56" s="33">
        <v>0</v>
      </c>
    </row>
    <row r="57" spans="1:71">
      <c r="Z57" s="5">
        <f>(AB54+AC54)/Y54</f>
        <v>0.746821799127112</v>
      </c>
      <c r="AB57" s="5">
        <f>AC54/Y54</f>
        <v>0.506302508297869</v>
      </c>
    </row>
  </sheetData>
  <sortState ref="A3:CN558">
    <sortCondition ref="G3:G558"/>
    <sortCondition ref="A3:A558"/>
  </sortState>
  <mergeCells count="8">
    <mergeCell ref="I1:M1"/>
    <mergeCell ref="N1:P1"/>
    <mergeCell ref="Q1:X1"/>
    <mergeCell ref="Z1:AL1"/>
    <mergeCell ref="AO1:BA1"/>
    <mergeCell ref="BB1:BE1"/>
    <mergeCell ref="BF1:BM1"/>
    <mergeCell ref="BN1:BS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9" sqref="E9"/>
    </sheetView>
  </sheetViews>
  <sheetFormatPr defaultColWidth="9" defaultRowHeight="16.8" outlineLevelCol="6"/>
  <cols>
    <col min="2" max="2" width="26.9134615384615" customWidth="1"/>
    <col min="3" max="3" width="10.3076923076923" customWidth="1"/>
    <col min="4" max="4" width="12.7692307692308" customWidth="1"/>
  </cols>
  <sheetData>
    <row r="1" spans="1:7">
      <c r="A1" s="1" t="s">
        <v>24</v>
      </c>
      <c r="B1" s="1" t="s">
        <v>74</v>
      </c>
      <c r="C1" s="1" t="s">
        <v>87</v>
      </c>
      <c r="D1" s="1" t="s">
        <v>216</v>
      </c>
      <c r="E1" s="2"/>
      <c r="F1" s="2"/>
      <c r="G1" s="2"/>
    </row>
    <row r="2" ht="17.6" spans="1:7">
      <c r="A2" s="1">
        <v>1</v>
      </c>
      <c r="B2" s="1" t="s">
        <v>75</v>
      </c>
      <c r="C2" s="3"/>
      <c r="D2" s="3"/>
      <c r="E2" s="4"/>
      <c r="F2" s="4"/>
      <c r="G2" s="4"/>
    </row>
    <row r="3" spans="1:7">
      <c r="A3" s="1">
        <v>2</v>
      </c>
      <c r="B3" s="1" t="s">
        <v>76</v>
      </c>
      <c r="C3" s="1"/>
      <c r="D3" s="1"/>
      <c r="E3" s="2"/>
      <c r="F3" s="2"/>
      <c r="G3" s="2"/>
    </row>
    <row r="4" spans="1:7">
      <c r="A4" s="1">
        <v>3</v>
      </c>
      <c r="B4" s="1" t="s">
        <v>75</v>
      </c>
      <c r="C4" s="1"/>
      <c r="D4" s="1"/>
      <c r="E4" s="2"/>
      <c r="F4" s="2"/>
      <c r="G4" s="2"/>
    </row>
    <row r="5" spans="1:7">
      <c r="A5" s="1">
        <v>4</v>
      </c>
      <c r="B5" s="1" t="s">
        <v>77</v>
      </c>
      <c r="C5" s="1"/>
      <c r="D5" s="1"/>
      <c r="E5" s="2"/>
      <c r="F5" s="2"/>
      <c r="G5" s="2"/>
    </row>
    <row r="6" spans="1:7">
      <c r="A6" s="1">
        <v>5</v>
      </c>
      <c r="B6" s="1" t="s">
        <v>78</v>
      </c>
      <c r="C6" s="1"/>
      <c r="D6" s="1"/>
      <c r="E6" s="2"/>
      <c r="F6" s="2"/>
      <c r="G6" s="2"/>
    </row>
    <row r="7" spans="1:7">
      <c r="A7" s="1">
        <v>6</v>
      </c>
      <c r="B7" s="1" t="s">
        <v>79</v>
      </c>
      <c r="C7" s="1"/>
      <c r="D7" s="1"/>
      <c r="E7" s="2"/>
      <c r="F7" s="2"/>
      <c r="G7" s="2"/>
    </row>
    <row r="8" spans="1:7">
      <c r="A8" s="1"/>
      <c r="B8" s="1"/>
      <c r="C8" s="1"/>
      <c r="D8" s="1"/>
      <c r="E8" s="2"/>
      <c r="F8" s="2"/>
      <c r="G8" s="2"/>
    </row>
    <row r="9" spans="1:7">
      <c r="A9" s="1"/>
      <c r="B9" s="1"/>
      <c r="C9" s="1"/>
      <c r="D9" s="1"/>
      <c r="E9" s="2"/>
      <c r="F9" s="2"/>
      <c r="G9" s="2"/>
    </row>
    <row r="10" spans="1:7">
      <c r="A10" s="1"/>
      <c r="B10" s="1"/>
      <c r="C10" s="1"/>
      <c r="D10" s="1"/>
      <c r="E10" s="2"/>
      <c r="F10" s="2"/>
      <c r="G10" s="2"/>
    </row>
    <row r="11" spans="1:7">
      <c r="A11" s="1"/>
      <c r="B11" s="1"/>
      <c r="C11" s="1"/>
      <c r="D11" s="1"/>
      <c r="E11" s="2"/>
      <c r="F11" s="2"/>
      <c r="G11" s="2"/>
    </row>
    <row r="12" spans="1:7">
      <c r="A12" s="1"/>
      <c r="B12" s="1"/>
      <c r="C12" s="1"/>
      <c r="D12" s="1"/>
      <c r="E12" s="2"/>
      <c r="F12" s="2"/>
      <c r="G12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G20" sqref="G20"/>
    </sheetView>
  </sheetViews>
  <sheetFormatPr defaultColWidth="9" defaultRowHeight="16.8" outlineLevelCol="1"/>
  <sheetData>
    <row r="1" spans="1:2">
      <c r="A1" t="s">
        <v>217</v>
      </c>
      <c r="B1" t="s">
        <v>218</v>
      </c>
    </row>
    <row r="2" spans="1:2">
      <c r="A2" t="s">
        <v>206</v>
      </c>
      <c r="B2">
        <v>1</v>
      </c>
    </row>
    <row r="3" spans="1:2">
      <c r="A3" t="s">
        <v>130</v>
      </c>
      <c r="B3">
        <v>2</v>
      </c>
    </row>
    <row r="4" spans="1:2">
      <c r="A4" t="s">
        <v>196</v>
      </c>
      <c r="B4">
        <v>3</v>
      </c>
    </row>
    <row r="5" spans="1:2">
      <c r="A5" t="s">
        <v>127</v>
      </c>
      <c r="B5">
        <v>4</v>
      </c>
    </row>
    <row r="8" spans="1:2">
      <c r="A8" t="s">
        <v>219</v>
      </c>
      <c r="B8" t="s">
        <v>94</v>
      </c>
    </row>
    <row r="9" spans="1:2">
      <c r="A9" t="s">
        <v>220</v>
      </c>
      <c r="B9" t="s">
        <v>141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Suyingjuan</dc:creator>
  <cp:lastModifiedBy>whuwdj</cp:lastModifiedBy>
  <dcterms:created xsi:type="dcterms:W3CDTF">2023-05-14T19:15:00Z</dcterms:created>
  <dcterms:modified xsi:type="dcterms:W3CDTF">2026-04-30T16:27:53Z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57ACD0AF89DE4138BFF18B21DA3F02EF_12</vt:lpwstr>
  </property>
  <property fmtid="{D5CDD505-2E9C-101B-9397-08002B2CF9AE}" pid="4" name="CalculationRule">
    <vt:i4>0</vt:i4>
  </property>
</Properties>
</file>