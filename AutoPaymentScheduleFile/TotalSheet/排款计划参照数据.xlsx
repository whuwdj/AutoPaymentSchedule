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46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>
    <definedName name="_xlnm._FilterDatabase" localSheetId="0" hidden="1">'Sheet1'!$A$8:$BT$100</definedName>
  </definedNames>
  <calcPr calcId="191029" fullCalcOnLoad="0" calcComplete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yyyy/m/d;@"/>
  </numFmts>
  <fonts count="32">
    <font>
      <name val="宋体"/>
      <charset val="134"/>
      <color theme="1"/>
      <sz val="11"/>
      <scheme val="minor"/>
    </font>
    <font>
      <name val="微软雅黑"/>
      <charset val="134"/>
      <b val="1"/>
      <color rgb="FFFF0000"/>
      <sz val="12"/>
    </font>
    <font>
      <name val="宋体"/>
      <charset val="134"/>
      <b val="1"/>
      <color theme="1"/>
      <sz val="11"/>
      <scheme val="minor"/>
    </font>
    <font>
      <name val="微软雅黑"/>
      <charset val="134"/>
      <b val="1"/>
      <color theme="1"/>
      <sz val="14"/>
    </font>
    <font>
      <name val="宋体"/>
      <charset val="134"/>
      <b val="1"/>
      <color theme="1"/>
      <sz val="14"/>
      <scheme val="minor"/>
    </font>
    <font>
      <name val="宋体"/>
      <charset val="134"/>
      <b val="1"/>
      <color theme="1"/>
      <sz val="11"/>
    </font>
    <font>
      <name val="等线"/>
      <charset val="134"/>
      <b val="1"/>
      <color theme="1"/>
      <sz val="11"/>
    </font>
    <font>
      <name val="等线"/>
      <charset val="134"/>
      <sz val="11"/>
    </font>
    <font>
      <name val="微软雅黑"/>
      <charset val="134"/>
      <b val="1"/>
      <sz val="12"/>
    </font>
    <font>
      <name val="微软雅黑"/>
      <charset val="134"/>
      <color theme="1"/>
      <sz val="10"/>
    </font>
    <font>
      <name val="等线"/>
      <charset val="134"/>
      <color theme="1"/>
      <sz val="11"/>
    </font>
    <font>
      <name val="宋体"/>
      <charset val="134"/>
      <color rgb="FFFF0000"/>
      <sz val="11"/>
      <scheme val="minor"/>
    </font>
    <font>
      <name val="宋体"/>
      <charset val="134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88">
    <fill>
      <patternFill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rgb="FFC6EFCE"/>
      </patternFill>
    </fill>
    <fill>
      <gradientFill type="linear">
        <stop position="0">
          <color rgb="FFFFFFFF"/>
        </stop>
        <stop position="0.403583676092545">
          <color rgb="FFFFFFFF"/>
        </stop>
        <stop position="0.403683676092545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1003463912175648">
          <color rgb="FFFFFFFF"/>
        </stop>
        <stop position="0.1004463912175648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2280504725703719">
          <color rgb="FFFFFFFF"/>
        </stop>
        <stop position="0.2281504725703719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1547192307692308">
          <color rgb="FFFFFFFF"/>
        </stop>
        <stop position="0.1548192307692308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09994999999999998">
          <color rgb="FFFFFFFF"/>
        </stop>
        <stop position="0.10005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01173962611006507">
          <color rgb="FFFFFFFF"/>
        </stop>
        <stop position="0.01183962611006507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1818942280729086">
          <color rgb="FFFFFFFF"/>
        </stop>
        <stop position="0.1819942280729085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4420741025641026">
          <color rgb="FFFFFFFF"/>
        </stop>
        <stop position="0.4421741025641026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09995000000000009">
          <color rgb="FFFFFFFF"/>
        </stop>
        <stop position="0.1000500000000001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3229126495726496">
          <color rgb="FFFFFFFF"/>
        </stop>
        <stop position="0.3230126495726496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1008833562061604">
          <color rgb="FFFFFFFF"/>
        </stop>
        <stop position="0.1009833562061604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924153144654088">
          <color rgb="FFFFFFFF"/>
        </stop>
        <stop position="0.924253144654088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2917563746632581">
          <color rgb="FFFFFFFF"/>
        </stop>
        <stop position="0.2918563746632581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3424414941176471">
          <color rgb="FFFFFFFF"/>
        </stop>
        <stop position="0.3425414941176471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4216215618808512">
          <color rgb="FFFFFFFF"/>
        </stop>
        <stop position="0.4217215618808512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286434357912179">
          <color rgb="FFFFFFFF"/>
        </stop>
        <stop position="0.286534357912179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2786180541103018">
          <color rgb="FFFFFFFF"/>
        </stop>
        <stop position="0.2787180541103018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6864172364672364">
          <color rgb="FFFFFFFF"/>
        </stop>
        <stop position="0.6865172364672364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2757815014155404">
          <color rgb="FFFFFFFF"/>
        </stop>
        <stop position="0.2758815014155404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8395235607675906">
          <color rgb="FFFFFFFF"/>
        </stop>
        <stop position="0.8396235607675906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28995">
          <color rgb="FFFFFFFF"/>
        </stop>
        <stop position="0.29005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2575652319109467">
          <color rgb="FFFFFFFF"/>
        </stop>
        <stop position="0.2576652319109467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19995">
          <color rgb="FFFFFFFF"/>
        </stop>
        <stop position="0.20005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06633222222222201">
          <color rgb="FFFFFFFF"/>
        </stop>
        <stop position="0.066432222222222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1333508425145821">
          <color rgb="FFFFFFFF"/>
        </stop>
        <stop position="0.1334508425145821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4545839766997044">
          <color rgb="FFFFFFFF"/>
        </stop>
        <stop position="0.4546839766997044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5884109639988099">
          <color rgb="FFFFFFFF"/>
        </stop>
        <stop position="0.5885109639988099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2052685159593867">
          <color rgb="FFFFFFFF"/>
        </stop>
        <stop position="0.2053685159593867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2005425502232142">
          <color rgb="FFFFFFFF"/>
        </stop>
        <stop position="0.2006425502232142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1594667314679076">
          <color rgb="FFFFFFFF"/>
        </stop>
        <stop position="0.1595667314679076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2993869333333333">
          <color rgb="FFFFFFFF"/>
        </stop>
        <stop position="0.2994869333333333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1818397870280736">
          <color rgb="FFFFFFFF"/>
        </stop>
        <stop position="0.1819397870280736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48995">
          <color rgb="FFFFFFFF"/>
        </stop>
        <stop position="0.49005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3533723750000001">
          <color rgb="FFFFFFFF"/>
        </stop>
        <stop position="0.3534723750000001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619523692840226">
          <color rgb="FFFFFFFF"/>
        </stop>
        <stop position="0.619623692840226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2598793372319685">
          <color rgb="FFFFFFFF"/>
        </stop>
        <stop position="0.2599793372319685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4546254166666668">
          <color rgb="FFFFFFFF"/>
        </stop>
        <stop position="0.4547254166666668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2366451219512196">
          <color rgb="FFFFFFFF"/>
        </stop>
        <stop position="0.2367451219512196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1945718487394958">
          <color rgb="FFFFFFFF"/>
        </stop>
        <stop position="0.1946718487394958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4407809776207303">
          <color rgb="FFFFFFFF"/>
        </stop>
        <stop position="0.4408809776207303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29995">
          <color rgb="FFFFFFFF"/>
        </stop>
        <stop position="0.30005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499325">
          <color rgb="FFFFFFFF"/>
        </stop>
        <stop position="0.499425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14995">
          <color rgb="FFFFFFFF"/>
        </stop>
        <stop position="0.15005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1009407590909092">
          <color rgb="FFFFFFFF"/>
        </stop>
        <stop position="0.1010407590909091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3428071428571429">
          <color rgb="FFFFFFFF"/>
        </stop>
        <stop position="0.3429071428571429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2648771895424836">
          <color rgb="FFFFFFFF"/>
        </stop>
        <stop position="0.2649771895424836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8992">
          <color rgb="FFFFFFFF"/>
        </stop>
        <stop position="0.8993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19759">
          <color rgb="FFFFFFFF"/>
        </stop>
        <stop position="0.19769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4336183417085427">
          <color rgb="FFFFFFFF"/>
        </stop>
        <stop position="0.4337183417085427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3273187975867853">
          <color rgb="FFFFFFFF"/>
        </stop>
        <stop position="0.3274187975867853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1419860000000001">
          <color rgb="FFFFFFFF"/>
        </stop>
        <stop position="0.142086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4282330434782609">
          <color rgb="FFFFFFFF"/>
        </stop>
        <stop position="0.4283330434782608">
          <color rgb="FFC6EFCE"/>
        </stop>
        <stop position="1">
          <color rgb="FFC6EFCE"/>
        </stop>
      </gradient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ashed">
        <color auto="1"/>
      </bottom>
      <diagonal/>
    </border>
    <border>
      <left/>
      <right/>
      <top style="thin">
        <color auto="1"/>
      </top>
      <bottom style="dashed">
        <color auto="1"/>
      </bottom>
      <diagonal/>
    </border>
    <border>
      <left/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/>
      <top style="thin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/>
      <right/>
      <top style="thin">
        <color auto="1"/>
      </top>
      <bottom/>
      <diagonal/>
    </border>
    <border>
      <left/>
      <right style="dashed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6" borderId="11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12" applyAlignment="1">
      <alignment vertical="center"/>
    </xf>
    <xf numFmtId="0" fontId="19" fillId="0" borderId="12" applyAlignment="1">
      <alignment vertical="center"/>
    </xf>
    <xf numFmtId="0" fontId="20" fillId="0" borderId="13" applyAlignment="1">
      <alignment vertical="center"/>
    </xf>
    <xf numFmtId="0" fontId="20" fillId="0" borderId="0" applyAlignment="1">
      <alignment vertical="center"/>
    </xf>
    <xf numFmtId="0" fontId="21" fillId="7" borderId="14" applyAlignment="1">
      <alignment vertical="center"/>
    </xf>
    <xf numFmtId="0" fontId="22" fillId="8" borderId="15" applyAlignment="1">
      <alignment vertical="center"/>
    </xf>
    <xf numFmtId="0" fontId="23" fillId="8" borderId="14" applyAlignment="1">
      <alignment vertical="center"/>
    </xf>
    <xf numFmtId="0" fontId="24" fillId="9" borderId="16" applyAlignment="1">
      <alignment vertical="center"/>
    </xf>
    <xf numFmtId="0" fontId="25" fillId="0" borderId="17" applyAlignment="1">
      <alignment vertical="center"/>
    </xf>
    <xf numFmtId="0" fontId="26" fillId="0" borderId="18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2" borderId="0" applyAlignment="1">
      <alignment vertical="center"/>
    </xf>
    <xf numFmtId="0" fontId="30" fillId="19" borderId="0" applyAlignment="1">
      <alignment vertical="center"/>
    </xf>
    <xf numFmtId="0" fontId="30" fillId="20" borderId="0" applyAlignment="1">
      <alignment vertical="center"/>
    </xf>
    <xf numFmtId="0" fontId="31" fillId="21" borderId="0" applyAlignment="1">
      <alignment vertical="center"/>
    </xf>
    <xf numFmtId="0" fontId="31" fillId="22" borderId="0" applyAlignment="1">
      <alignment vertical="center"/>
    </xf>
    <xf numFmtId="0" fontId="30" fillId="23" borderId="0" applyAlignment="1">
      <alignment vertical="center"/>
    </xf>
    <xf numFmtId="0" fontId="30" fillId="24" borderId="0" applyAlignment="1">
      <alignment vertical="center"/>
    </xf>
    <xf numFmtId="0" fontId="31" fillId="25" borderId="0" applyAlignment="1">
      <alignment vertical="center"/>
    </xf>
    <xf numFmtId="0" fontId="31" fillId="3" borderId="0" applyAlignment="1">
      <alignment vertical="center"/>
    </xf>
    <xf numFmtId="0" fontId="30" fillId="26" borderId="0" applyAlignment="1">
      <alignment vertical="center"/>
    </xf>
    <xf numFmtId="0" fontId="30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30" fillId="30" borderId="0" applyAlignment="1">
      <alignment vertical="center"/>
    </xf>
    <xf numFmtId="0" fontId="30" fillId="31" borderId="0" applyAlignment="1">
      <alignment vertical="center"/>
    </xf>
    <xf numFmtId="0" fontId="31" fillId="32" borderId="0" applyAlignment="1">
      <alignment vertical="center"/>
    </xf>
    <xf numFmtId="0" fontId="31" fillId="33" borderId="0" applyAlignment="1">
      <alignment vertical="center"/>
    </xf>
    <xf numFmtId="0" fontId="30" fillId="34" borderId="0" applyAlignment="1">
      <alignment vertical="center"/>
    </xf>
  </cellStyleXfs>
  <cellXfs count="118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3" borderId="5" applyAlignment="1" applyProtection="1" pivotButton="0" quotePrefix="0" xfId="0">
      <alignment horizontal="center" vertical="center"/>
      <protection locked="0" hidden="1"/>
    </xf>
    <xf numFmtId="0" fontId="4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" fillId="3" borderId="7" applyAlignment="1" applyProtection="1" pivotButton="0" quotePrefix="0" xfId="0">
      <alignment horizontal="left" vertical="center"/>
      <protection locked="1" hidden="1"/>
    </xf>
    <xf numFmtId="0" fontId="1" fillId="3" borderId="8" applyAlignment="1" applyProtection="1" pivotButton="0" quotePrefix="0" xfId="0">
      <alignment horizontal="left" vertical="center"/>
      <protection locked="1" hidden="1"/>
    </xf>
    <xf numFmtId="0" fontId="1" fillId="3" borderId="8" applyAlignment="1" pivotButton="0" quotePrefix="0" xfId="0">
      <alignment horizontal="left" vertical="center"/>
    </xf>
    <xf numFmtId="0" fontId="1" fillId="3" borderId="8" applyAlignment="1" pivotButton="0" quotePrefix="0" xfId="0">
      <alignment horizontal="left" vertical="center" wrapText="1"/>
    </xf>
    <xf numFmtId="164" fontId="5" fillId="0" borderId="8" applyAlignment="1" pivotButton="0" quotePrefix="0" xfId="0">
      <alignment horizontal="center" vertical="center"/>
    </xf>
    <xf numFmtId="164" fontId="6" fillId="4" borderId="9" applyAlignment="1" pivotButton="0" quotePrefix="0" xfId="0">
      <alignment vertical="center" wrapText="1"/>
    </xf>
    <xf numFmtId="164" fontId="6" fillId="4" borderId="0" applyAlignment="1" pivotButton="0" quotePrefix="0" xfId="0">
      <alignment vertical="center" wrapText="1"/>
    </xf>
    <xf numFmtId="164" fontId="7" fillId="4" borderId="1" applyAlignment="1" pivotButton="0" quotePrefix="0" xfId="0">
      <alignment vertical="center" wrapText="1"/>
    </xf>
    <xf numFmtId="164" fontId="1" fillId="4" borderId="1" applyAlignment="1" pivotButton="0" quotePrefix="0" xfId="0">
      <alignment horizontal="left" vertical="center" wrapText="1"/>
    </xf>
    <xf numFmtId="0" fontId="8" fillId="2" borderId="8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/>
    </xf>
    <xf numFmtId="164" fontId="5" fillId="0" borderId="8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164" fontId="10" fillId="0" borderId="8" applyAlignment="1" pivotButton="0" quotePrefix="0" xfId="0">
      <alignment vertical="center"/>
    </xf>
    <xf numFmtId="164" fontId="5" fillId="0" borderId="10" applyAlignment="1" pivotButton="0" quotePrefix="0" xfId="0">
      <alignment horizontal="center" vertical="center"/>
    </xf>
    <xf numFmtId="164" fontId="6" fillId="4" borderId="1" applyAlignment="1" pivotButton="0" quotePrefix="0" xfId="0">
      <alignment vertical="center" wrapText="1"/>
    </xf>
    <xf numFmtId="165" fontId="1" fillId="4" borderId="1" applyAlignment="1" pivotButton="0" quotePrefix="0" xfId="0">
      <alignment horizontal="left" vertical="center" wrapText="1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horizontal="left" vertical="center"/>
    </xf>
    <xf numFmtId="0" fontId="0" fillId="0" borderId="8" applyAlignment="1" pivotButton="0" quotePrefix="0" xfId="0">
      <alignment vertical="center"/>
    </xf>
    <xf numFmtId="14" fontId="0" fillId="0" borderId="8" applyAlignment="1" pivotButton="0" quotePrefix="0" xfId="0">
      <alignment vertical="center"/>
    </xf>
    <xf numFmtId="0" fontId="0" fillId="5" borderId="8" applyAlignment="1" pivotButton="0" quotePrefix="0" xfId="0">
      <alignment vertical="center"/>
    </xf>
    <xf numFmtId="164" fontId="0" fillId="0" borderId="8" applyAlignment="1" pivotButton="0" quotePrefix="0" xfId="0">
      <alignment vertical="center"/>
    </xf>
    <xf numFmtId="164" fontId="0" fillId="0" borderId="8" applyAlignment="1" pivotButton="0" quotePrefix="0" xfId="0">
      <alignment vertical="center"/>
    </xf>
    <xf numFmtId="0" fontId="11" fillId="0" borderId="8" applyAlignment="1" pivotButton="0" quotePrefix="0" xfId="0">
      <alignment vertical="center"/>
    </xf>
    <xf numFmtId="164" fontId="12" fillId="0" borderId="8" applyAlignment="1" pivotButton="0" quotePrefix="0" xfId="0">
      <alignment vertical="center"/>
    </xf>
    <xf numFmtId="0" fontId="11" fillId="0" borderId="8" applyAlignment="1" pivotButton="0" quotePrefix="0" xfId="0">
      <alignment vertical="center"/>
    </xf>
    <xf numFmtId="0" fontId="0" fillId="5" borderId="8" applyAlignment="1" pivotButton="0" quotePrefix="0" xfId="0">
      <alignment vertical="center"/>
    </xf>
    <xf numFmtId="0" fontId="2" fillId="0" borderId="1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0" borderId="5" applyAlignment="1" pivotButton="0" quotePrefix="0" xfId="0">
      <alignment horizontal="center" vertical="center"/>
    </xf>
    <xf numFmtId="0" fontId="0" fillId="0" borderId="3" applyProtection="1" pivotButton="0" quotePrefix="0" xfId="0">
      <protection locked="0" hidden="1"/>
    </xf>
    <xf numFmtId="0" fontId="0" fillId="0" borderId="4" applyProtection="1" pivotButton="0" quotePrefix="0" xfId="0">
      <protection locked="0" hidden="1"/>
    </xf>
    <xf numFmtId="164" fontId="5" fillId="0" borderId="8" applyAlignment="1" pivotButton="0" quotePrefix="0" xfId="0">
      <alignment horizontal="center" vertical="center"/>
    </xf>
    <xf numFmtId="164" fontId="6" fillId="4" borderId="9" applyAlignment="1" pivotButton="0" quotePrefix="0" xfId="0">
      <alignment vertical="center" wrapText="1"/>
    </xf>
    <xf numFmtId="164" fontId="6" fillId="4" borderId="0" applyAlignment="1" pivotButton="0" quotePrefix="0" xfId="0">
      <alignment vertical="center" wrapText="1"/>
    </xf>
    <xf numFmtId="164" fontId="7" fillId="4" borderId="1" applyAlignment="1" pivotButton="0" quotePrefix="0" xfId="0">
      <alignment vertical="center" wrapText="1"/>
    </xf>
    <xf numFmtId="164" fontId="1" fillId="4" borderId="1" applyAlignment="1" pivotButton="0" quotePrefix="0" xfId="0">
      <alignment horizontal="left" vertical="center" wrapText="1"/>
    </xf>
    <xf numFmtId="164" fontId="5" fillId="0" borderId="8" applyAlignment="1" pivotButton="0" quotePrefix="0" xfId="0">
      <alignment vertical="center"/>
    </xf>
    <xf numFmtId="164" fontId="10" fillId="0" borderId="8" applyAlignment="1" pivotButton="0" quotePrefix="0" xfId="0">
      <alignment vertical="center"/>
    </xf>
    <xf numFmtId="164" fontId="5" fillId="0" borderId="10" applyAlignment="1" pivotButton="0" quotePrefix="0" xfId="0">
      <alignment horizontal="center" vertical="center"/>
    </xf>
    <xf numFmtId="164" fontId="6" fillId="4" borderId="1" applyAlignment="1" pivotButton="0" quotePrefix="0" xfId="0">
      <alignment vertical="center" wrapText="1"/>
    </xf>
    <xf numFmtId="165" fontId="1" fillId="4" borderId="1" applyAlignment="1" pivotButton="0" quotePrefix="0" xfId="0">
      <alignment horizontal="left" vertical="center" wrapText="1"/>
    </xf>
    <xf numFmtId="164" fontId="0" fillId="0" borderId="8" applyAlignment="1" pivotButton="0" quotePrefix="0" xfId="0">
      <alignment vertical="center"/>
    </xf>
    <xf numFmtId="164" fontId="12" fillId="0" borderId="8" applyAlignment="1" pivotButton="0" quotePrefix="0" xfId="0">
      <alignment vertical="center"/>
    </xf>
    <xf numFmtId="0" fontId="0" fillId="0" borderId="0" pivotButton="0" quotePrefix="0" xfId="0"/>
    <xf numFmtId="164" fontId="1" fillId="0" borderId="0" applyAlignment="1" pivotButton="0" quotePrefix="0" xfId="0">
      <alignment horizontal="left" vertical="center" wrapText="1"/>
    </xf>
    <xf numFmtId="164" fontId="0" fillId="55" borderId="8" applyAlignment="1" pivotButton="0" quotePrefix="0" xfId="0">
      <alignment vertical="center"/>
    </xf>
    <xf numFmtId="164" fontId="0" fillId="35" borderId="8" applyAlignment="1" pivotButton="0" quotePrefix="0" xfId="0">
      <alignment vertical="center"/>
    </xf>
    <xf numFmtId="164" fontId="0" fillId="40" borderId="8" applyAlignment="1" pivotButton="0" quotePrefix="0" xfId="0">
      <alignment vertical="center"/>
    </xf>
    <xf numFmtId="164" fontId="0" fillId="60" borderId="8" applyAlignment="1" pivotButton="0" quotePrefix="0" xfId="0">
      <alignment vertical="center"/>
    </xf>
    <xf numFmtId="164" fontId="0" fillId="86" borderId="8" applyAlignment="1" pivotButton="0" quotePrefix="0" xfId="0">
      <alignment vertical="center"/>
    </xf>
    <xf numFmtId="164" fontId="0" fillId="54" borderId="8" applyAlignment="1" pivotButton="0" quotePrefix="0" xfId="0">
      <alignment vertical="center"/>
    </xf>
    <xf numFmtId="164" fontId="0" fillId="36" borderId="8" applyAlignment="1" pivotButton="0" quotePrefix="0" xfId="0">
      <alignment vertical="center"/>
    </xf>
    <xf numFmtId="164" fontId="0" fillId="48" borderId="8" applyAlignment="1" pivotButton="0" quotePrefix="0" xfId="0">
      <alignment vertical="center"/>
    </xf>
    <xf numFmtId="164" fontId="0" fillId="81" borderId="8" applyAlignment="1" pivotButton="0" quotePrefix="0" xfId="0">
      <alignment vertical="center"/>
    </xf>
    <xf numFmtId="164" fontId="0" fillId="57" borderId="8" applyAlignment="1" pivotButton="0" quotePrefix="0" xfId="0">
      <alignment vertical="center"/>
    </xf>
    <xf numFmtId="164" fontId="0" fillId="58" borderId="8" applyAlignment="1" pivotButton="0" quotePrefix="0" xfId="0">
      <alignment vertical="center"/>
    </xf>
    <xf numFmtId="164" fontId="0" fillId="49" borderId="8" applyAlignment="1" pivotButton="0" quotePrefix="0" xfId="0">
      <alignment vertical="center"/>
    </xf>
    <xf numFmtId="164" fontId="0" fillId="85" borderId="8" applyAlignment="1" pivotButton="0" quotePrefix="0" xfId="0">
      <alignment vertical="center"/>
    </xf>
    <xf numFmtId="164" fontId="0" fillId="41" borderId="8" applyAlignment="1" pivotButton="0" quotePrefix="0" xfId="0">
      <alignment vertical="center"/>
    </xf>
    <xf numFmtId="164" fontId="0" fillId="42" borderId="8" applyAlignment="1" pivotButton="0" quotePrefix="0" xfId="0">
      <alignment vertical="center"/>
    </xf>
    <xf numFmtId="164" fontId="0" fillId="43" borderId="8" applyAlignment="1" pivotButton="0" quotePrefix="0" xfId="0">
      <alignment vertical="center"/>
    </xf>
    <xf numFmtId="164" fontId="0" fillId="75" borderId="8" applyAlignment="1" pivotButton="0" quotePrefix="0" xfId="0">
      <alignment vertical="center"/>
    </xf>
    <xf numFmtId="164" fontId="0" fillId="38" borderId="8" applyAlignment="1" pivotButton="0" quotePrefix="0" xfId="0">
      <alignment vertical="center"/>
    </xf>
    <xf numFmtId="164" fontId="0" fillId="76" borderId="8" applyAlignment="1" pivotButton="0" quotePrefix="0" xfId="0">
      <alignment vertical="center"/>
    </xf>
    <xf numFmtId="164" fontId="0" fillId="59" borderId="8" applyAlignment="1" pivotButton="0" quotePrefix="0" xfId="0">
      <alignment vertical="center"/>
    </xf>
    <xf numFmtId="164" fontId="0" fillId="39" borderId="8" applyAlignment="1" pivotButton="0" quotePrefix="0" xfId="0">
      <alignment vertical="center"/>
    </xf>
    <xf numFmtId="164" fontId="0" fillId="37" borderId="8" applyAlignment="1" pivotButton="0" quotePrefix="0" xfId="0">
      <alignment vertical="center"/>
    </xf>
    <xf numFmtId="164" fontId="0" fillId="44" borderId="8" applyAlignment="1" pivotButton="0" quotePrefix="0" xfId="0">
      <alignment vertical="center"/>
    </xf>
    <xf numFmtId="164" fontId="0" fillId="72" borderId="8" applyAlignment="1" pivotButton="0" quotePrefix="0" xfId="0">
      <alignment vertical="center"/>
    </xf>
    <xf numFmtId="164" fontId="0" fillId="64" borderId="8" applyAlignment="1" pivotButton="0" quotePrefix="0" xfId="0">
      <alignment vertical="center"/>
    </xf>
    <xf numFmtId="164" fontId="0" fillId="87" borderId="8" applyAlignment="1" pivotButton="0" quotePrefix="0" xfId="0">
      <alignment vertical="center"/>
    </xf>
    <xf numFmtId="164" fontId="0" fillId="63" borderId="8" applyAlignment="1" pivotButton="0" quotePrefix="0" xfId="0">
      <alignment vertical="center"/>
    </xf>
    <xf numFmtId="164" fontId="0" fillId="52" borderId="8" applyAlignment="1" pivotButton="0" quotePrefix="0" xfId="0">
      <alignment vertical="center"/>
    </xf>
    <xf numFmtId="164" fontId="0" fillId="82" borderId="8" applyAlignment="1" pivotButton="0" quotePrefix="0" xfId="0">
      <alignment vertical="center"/>
    </xf>
    <xf numFmtId="164" fontId="0" fillId="77" borderId="8" applyAlignment="1" pivotButton="0" quotePrefix="0" xfId="0">
      <alignment vertical="center"/>
    </xf>
    <xf numFmtId="164" fontId="0" fillId="69" borderId="8" applyAlignment="1" pivotButton="0" quotePrefix="0" xfId="0">
      <alignment vertical="center"/>
    </xf>
    <xf numFmtId="164" fontId="0" fillId="61" borderId="8" applyAlignment="1" pivotButton="0" quotePrefix="0" xfId="0">
      <alignment vertical="center"/>
    </xf>
    <xf numFmtId="164" fontId="0" fillId="45" borderId="8" applyAlignment="1" pivotButton="0" quotePrefix="0" xfId="0">
      <alignment vertical="center"/>
    </xf>
    <xf numFmtId="164" fontId="0" fillId="71" borderId="8" applyAlignment="1" pivotButton="0" quotePrefix="0" xfId="0">
      <alignment vertical="center"/>
    </xf>
    <xf numFmtId="164" fontId="0" fillId="79" borderId="8" applyAlignment="1" pivotButton="0" quotePrefix="0" xfId="0">
      <alignment vertical="center"/>
    </xf>
    <xf numFmtId="164" fontId="0" fillId="46" borderId="8" applyAlignment="1" pivotButton="0" quotePrefix="0" xfId="0">
      <alignment vertical="center"/>
    </xf>
    <xf numFmtId="164" fontId="0" fillId="80" borderId="8" applyAlignment="1" pivotButton="0" quotePrefix="0" xfId="0">
      <alignment vertical="center"/>
    </xf>
    <xf numFmtId="164" fontId="0" fillId="62" borderId="8" applyAlignment="1" pivotButton="0" quotePrefix="0" xfId="0">
      <alignment vertical="center"/>
    </xf>
    <xf numFmtId="164" fontId="0" fillId="65" borderId="8" applyAlignment="1" pivotButton="0" quotePrefix="0" xfId="0">
      <alignment vertical="center"/>
    </xf>
    <xf numFmtId="164" fontId="0" fillId="50" borderId="8" applyAlignment="1" pivotButton="0" quotePrefix="0" xfId="0">
      <alignment vertical="center"/>
    </xf>
    <xf numFmtId="164" fontId="0" fillId="53" borderId="8" applyAlignment="1" pivotButton="0" quotePrefix="0" xfId="0">
      <alignment vertical="center"/>
    </xf>
    <xf numFmtId="164" fontId="0" fillId="84" borderId="8" applyAlignment="1" pivotButton="0" quotePrefix="0" xfId="0">
      <alignment vertical="center"/>
    </xf>
    <xf numFmtId="164" fontId="0" fillId="83" borderId="8" applyAlignment="1" pivotButton="0" quotePrefix="0" xfId="0">
      <alignment vertical="center"/>
    </xf>
    <xf numFmtId="164" fontId="0" fillId="66" borderId="8" applyAlignment="1" pivotButton="0" quotePrefix="0" xfId="0">
      <alignment vertical="center"/>
    </xf>
    <xf numFmtId="164" fontId="0" fillId="67" borderId="8" applyAlignment="1" pivotButton="0" quotePrefix="0" xfId="0">
      <alignment vertical="center"/>
    </xf>
    <xf numFmtId="164" fontId="0" fillId="68" borderId="8" applyAlignment="1" pivotButton="0" quotePrefix="0" xfId="0">
      <alignment vertical="center"/>
    </xf>
    <xf numFmtId="164" fontId="0" fillId="74" borderId="8" applyAlignment="1" pivotButton="0" quotePrefix="0" xfId="0">
      <alignment vertical="center"/>
    </xf>
    <xf numFmtId="164" fontId="0" fillId="70" borderId="8" applyAlignment="1" pivotButton="0" quotePrefix="0" xfId="0">
      <alignment vertical="center"/>
    </xf>
    <xf numFmtId="164" fontId="0" fillId="47" borderId="8" applyAlignment="1" pivotButton="0" quotePrefix="0" xfId="0">
      <alignment vertical="center"/>
    </xf>
    <xf numFmtId="164" fontId="0" fillId="51" borderId="8" applyAlignment="1" pivotButton="0" quotePrefix="0" xfId="0">
      <alignment vertical="center"/>
    </xf>
    <xf numFmtId="164" fontId="0" fillId="73" borderId="8" applyAlignment="1" pivotButton="0" quotePrefix="0" xfId="0">
      <alignment vertical="center"/>
    </xf>
    <xf numFmtId="164" fontId="0" fillId="78" borderId="8" applyAlignment="1" pivotButton="0" quotePrefix="0" xfId="0">
      <alignment vertical="center"/>
    </xf>
    <xf numFmtId="164" fontId="0" fillId="56" borderId="8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00"/>
  <sheetViews>
    <sheetView tabSelected="1" workbookViewId="0">
      <pane xSplit="18" ySplit="8" topLeftCell="X9" activePane="bottomRight" state="frozen"/>
      <selection activeCell="A1" sqref="A1"/>
      <selection pane="topRight" activeCell="A1" sqref="A1"/>
      <selection pane="bottomLeft" activeCell="A1" sqref="A1"/>
      <selection pane="bottomRight" activeCell="AE15" sqref="AE15"/>
    </sheetView>
  </sheetViews>
  <sheetFormatPr baseColWidth="8" defaultColWidth="9" defaultRowHeight="16.8"/>
  <cols>
    <col width="6.875" customWidth="1" style="5" min="1" max="1"/>
    <col hidden="1" width="5.5" customWidth="1" style="5" min="2" max="2"/>
    <col width="23.75" customWidth="1" style="5" min="3" max="3"/>
    <col width="19.3846153846154" customWidth="1" style="5" min="4" max="4"/>
    <col width="19.7115384615385" customWidth="1" style="5" min="5" max="5"/>
    <col width="10.25" customWidth="1" style="5" min="6" max="6"/>
    <col width="8.5" customWidth="1" style="5" min="7" max="7"/>
    <col width="17.875" customWidth="1" style="5" min="8" max="8"/>
    <col width="9" customWidth="1" style="5" min="9" max="9"/>
    <col width="9.625" customWidth="1" style="5" min="10" max="10"/>
    <col width="10" customWidth="1" style="5" min="11" max="11"/>
    <col width="8.625" customWidth="1" style="5" min="12" max="12"/>
    <col width="12" customWidth="1" style="5" min="13" max="13"/>
    <col width="11" customWidth="1" style="5" min="14" max="14"/>
    <col width="10" customWidth="1" style="5" min="15" max="15"/>
    <col width="9.5" customWidth="1" style="5" min="16" max="16"/>
    <col hidden="1" width="17.875" customWidth="1" style="5" min="17" max="17"/>
    <col width="24.3557692307692" customWidth="1" style="5" min="18" max="18"/>
    <col width="26.1153846153846" customWidth="1" style="5" min="19" max="19"/>
    <col width="17.875" customWidth="1" style="5" min="20" max="24"/>
    <col width="17.125" customWidth="1" style="5" min="25" max="26"/>
    <col width="16" customWidth="1" style="5" min="27" max="31"/>
    <col width="16.375" customWidth="1" style="5" min="32" max="32"/>
    <col width="16" customWidth="1" style="5" min="33" max="35"/>
    <col width="15.625" customWidth="1" style="5" min="36" max="37"/>
    <col width="16" customWidth="1" style="5" min="38" max="52"/>
    <col width="12.125" customWidth="1" style="5" min="53" max="53"/>
    <col width="17.125" customWidth="1" style="5" min="54" max="54"/>
    <col width="18.25" customWidth="1" style="5" min="55" max="55"/>
    <col width="18.75" customWidth="1" style="5" min="56" max="56"/>
    <col width="9.625" customWidth="1" style="5" min="57" max="57"/>
    <col width="17.125" customWidth="1" style="5" min="58" max="58"/>
    <col width="16" customWidth="1" style="5" min="59" max="63"/>
    <col width="18.5096153846154" customWidth="1" style="5" min="64" max="64"/>
    <col width="12" customWidth="1" style="5" min="65" max="68"/>
    <col width="12.625" customWidth="1" style="5" min="69" max="69"/>
    <col width="15.125" customWidth="1" style="5" min="70" max="70"/>
    <col width="9" customWidth="1" style="5" min="71" max="16384"/>
  </cols>
  <sheetData>
    <row r="1" ht="20" customFormat="1" customHeight="1" s="5">
      <c r="A1" s="45" t="inlineStr">
        <is>
          <t>截止20260430已到票应付账龄情况-分主体不分部门</t>
        </is>
      </c>
      <c r="B1" s="46" t="n"/>
      <c r="C1" s="47" t="n"/>
      <c r="D1" s="9" t="n"/>
      <c r="E1" s="9" t="n"/>
      <c r="F1" s="9" t="n"/>
      <c r="G1" s="9" t="n"/>
      <c r="H1" s="9" t="n"/>
      <c r="I1" s="48" t="inlineStr">
        <is>
          <t>备用筛选字段</t>
        </is>
      </c>
      <c r="J1" s="46" t="n"/>
      <c r="K1" s="46" t="n"/>
      <c r="L1" s="46" t="n"/>
      <c r="M1" s="46" t="n"/>
      <c r="N1" s="47" t="n"/>
      <c r="O1" s="48" t="inlineStr">
        <is>
          <t>付款计划</t>
        </is>
      </c>
      <c r="P1" s="47" t="n"/>
      <c r="Q1" s="48" t="inlineStr">
        <is>
          <t>排款计划</t>
        </is>
      </c>
      <c r="R1" s="46" t="n"/>
      <c r="S1" s="46" t="n"/>
      <c r="T1" s="46" t="n"/>
      <c r="U1" s="46" t="n"/>
      <c r="V1" s="46" t="n"/>
      <c r="W1" s="46" t="n"/>
      <c r="X1" s="47" t="n"/>
      <c r="Y1" s="13" t="n"/>
      <c r="Z1" s="13" t="inlineStr">
        <is>
          <t>应付账龄</t>
        </is>
      </c>
      <c r="AA1" s="46" t="n"/>
      <c r="AB1" s="46" t="n"/>
      <c r="AC1" s="46" t="n"/>
      <c r="AD1" s="46" t="n"/>
      <c r="AE1" s="46" t="n"/>
      <c r="AF1" s="46" t="n"/>
      <c r="AG1" s="46" t="n"/>
      <c r="AH1" s="46" t="n"/>
      <c r="AI1" s="46" t="n"/>
      <c r="AJ1" s="46" t="n"/>
      <c r="AK1" s="46" t="n"/>
      <c r="AL1" s="47" t="n"/>
      <c r="AM1" s="13" t="n"/>
      <c r="AN1" s="14" t="inlineStr">
        <is>
          <t>每月采购额</t>
        </is>
      </c>
      <c r="AO1" s="49" t="n"/>
      <c r="AP1" s="49" t="n"/>
      <c r="AQ1" s="49" t="n"/>
      <c r="AR1" s="49" t="n"/>
      <c r="AS1" s="49" t="n"/>
      <c r="AT1" s="49" t="n"/>
      <c r="AU1" s="49" t="n"/>
      <c r="AV1" s="49" t="n"/>
      <c r="AW1" s="49" t="n"/>
      <c r="AX1" s="49" t="n"/>
      <c r="AY1" s="49" t="n"/>
      <c r="AZ1" s="50" t="n"/>
      <c r="BA1" s="15" t="inlineStr">
        <is>
          <t>采购部另外需要数据</t>
        </is>
      </c>
      <c r="BB1" s="46" t="n"/>
      <c r="BC1" s="46" t="n"/>
      <c r="BD1" s="47" t="n"/>
      <c r="BE1" s="15" t="inlineStr">
        <is>
          <t>日报表数据</t>
        </is>
      </c>
      <c r="BF1" s="46" t="n"/>
      <c r="BG1" s="46" t="n"/>
      <c r="BH1" s="46" t="n"/>
      <c r="BI1" s="46" t="n"/>
      <c r="BJ1" s="46" t="n"/>
      <c r="BK1" s="46" t="n"/>
      <c r="BL1" s="47" t="n"/>
      <c r="BM1" s="16" t="inlineStr">
        <is>
          <t>补充数据</t>
        </is>
      </c>
      <c r="BN1" s="46" t="n"/>
      <c r="BO1" s="46" t="n"/>
      <c r="BP1" s="46" t="n"/>
      <c r="BQ1" s="46" t="n"/>
      <c r="BR1" s="47" t="n"/>
    </row>
    <row r="2" ht="105" customFormat="1" customHeight="1" s="5">
      <c r="A2" s="17" t="inlineStr">
        <is>
          <t>主体</t>
        </is>
      </c>
      <c r="B2" s="18" t="inlineStr">
        <is>
          <t>客商编码</t>
        </is>
      </c>
      <c r="C2" s="19" t="inlineStr">
        <is>
          <t>供应商名称</t>
        </is>
      </c>
      <c r="D2" s="20" t="inlineStr">
        <is>
          <t>付款银行优先级（中国银行、易信、商承）</t>
        </is>
      </c>
      <c r="E2" s="20" t="inlineStr">
        <is>
          <t>付款优先级（严格按账期-0级，加多1个月-1级，其他-2级且优先处理账龄长的）</t>
        </is>
      </c>
      <c r="F2" s="20" t="inlineStr">
        <is>
          <t>付款截止日期</t>
        </is>
      </c>
      <c r="G2" s="51" t="inlineStr">
        <is>
          <t>负责人</t>
        </is>
      </c>
      <c r="H2" s="51" t="inlineStr">
        <is>
          <t>本月预排金额</t>
        </is>
      </c>
      <c r="I2" s="51" t="inlineStr">
        <is>
          <t>类别</t>
        </is>
      </c>
      <c r="J2" s="51" t="inlineStr">
        <is>
          <t>合同账期</t>
        </is>
      </c>
      <c r="K2" s="51" t="inlineStr">
        <is>
          <t>协议账期</t>
        </is>
      </c>
      <c r="L2" s="51" t="inlineStr">
        <is>
          <t>额度</t>
        </is>
      </c>
      <c r="M2" s="51" t="inlineStr">
        <is>
          <t>收款方式</t>
        </is>
      </c>
      <c r="N2" s="51" t="inlineStr">
        <is>
          <t>收款方式备注</t>
        </is>
      </c>
      <c r="O2" s="52" t="inlineStr">
        <is>
          <t>付款计划</t>
        </is>
      </c>
      <c r="P2" s="53" t="inlineStr">
        <is>
          <t>付款计划确认</t>
        </is>
      </c>
      <c r="Q2" s="54" t="inlineStr">
        <is>
          <t>序号</t>
        </is>
      </c>
      <c r="R2" s="55" t="inlineStr">
        <is>
          <t>第1笔</t>
        </is>
      </c>
      <c r="S2" s="55" t="inlineStr">
        <is>
          <t>第2笔</t>
        </is>
      </c>
      <c r="T2" s="55" t="inlineStr">
        <is>
          <t>第3笔</t>
        </is>
      </c>
      <c r="U2" s="55" t="inlineStr">
        <is>
          <t>第4笔</t>
        </is>
      </c>
      <c r="V2" s="55" t="inlineStr">
        <is>
          <t>第5笔</t>
        </is>
      </c>
      <c r="W2" s="55" t="inlineStr">
        <is>
          <t>第6笔</t>
        </is>
      </c>
      <c r="X2" s="55" t="inlineStr">
        <is>
          <t>合计已排款</t>
        </is>
      </c>
      <c r="Y2" s="26" t="inlineStr">
        <is>
          <t>当月已开票余额</t>
        </is>
      </c>
      <c r="Z2" s="26" t="inlineStr">
        <is>
          <t>1个月（26.4月）</t>
        </is>
      </c>
      <c r="AA2" s="26" t="inlineStr">
        <is>
          <t>2个月（26.3月）</t>
        </is>
      </c>
      <c r="AB2" s="26" t="inlineStr">
        <is>
          <t>3个月（26.2月）</t>
        </is>
      </c>
      <c r="AC2" s="26" t="inlineStr">
        <is>
          <t>4个月（26.1月）</t>
        </is>
      </c>
      <c r="AD2" s="26" t="inlineStr">
        <is>
          <t>5个月（25.12月）</t>
        </is>
      </c>
      <c r="AE2" s="26" t="inlineStr">
        <is>
          <t>6个月（25.11月）</t>
        </is>
      </c>
      <c r="AF2" s="26" t="inlineStr">
        <is>
          <t>7个月（25.10月）</t>
        </is>
      </c>
      <c r="AG2" s="26" t="inlineStr">
        <is>
          <t>8个月（25.9月）</t>
        </is>
      </c>
      <c r="AH2" s="26" t="inlineStr">
        <is>
          <t>9个月（25.8月）</t>
        </is>
      </c>
      <c r="AI2" s="26" t="inlineStr">
        <is>
          <t>10个月（25.7月）</t>
        </is>
      </c>
      <c r="AJ2" s="26" t="inlineStr">
        <is>
          <t>11个月（25.6月）</t>
        </is>
      </c>
      <c r="AK2" s="26" t="inlineStr">
        <is>
          <t>12个月（25.5月）</t>
        </is>
      </c>
      <c r="AL2" s="26" t="inlineStr">
        <is>
          <t>13个月以上</t>
        </is>
      </c>
      <c r="AM2" s="26" t="inlineStr">
        <is>
          <t>截止</t>
        </is>
      </c>
      <c r="AN2" s="36" t="inlineStr">
        <is>
          <t>2026年4月</t>
        </is>
      </c>
      <c r="AO2" s="36" t="inlineStr">
        <is>
          <t>2026年3月</t>
        </is>
      </c>
      <c r="AP2" s="36" t="inlineStr">
        <is>
          <t>2026年2月</t>
        </is>
      </c>
      <c r="AQ2" s="36" t="inlineStr">
        <is>
          <t>2026年1月</t>
        </is>
      </c>
      <c r="AR2" s="36" t="inlineStr">
        <is>
          <t>2025年12月</t>
        </is>
      </c>
      <c r="AS2" s="36" t="inlineStr">
        <is>
          <t>2025年11月</t>
        </is>
      </c>
      <c r="AT2" s="36" t="inlineStr">
        <is>
          <t>2025年10月</t>
        </is>
      </c>
      <c r="AU2" s="36" t="inlineStr">
        <is>
          <t>2025年9月</t>
        </is>
      </c>
      <c r="AV2" s="36" t="inlineStr">
        <is>
          <t>2025年8月</t>
        </is>
      </c>
      <c r="AW2" s="36" t="inlineStr">
        <is>
          <t>2025年7月</t>
        </is>
      </c>
      <c r="AX2" s="36" t="inlineStr">
        <is>
          <t>2025年6月</t>
        </is>
      </c>
      <c r="AY2" s="36" t="inlineStr">
        <is>
          <t>2025年5月</t>
        </is>
      </c>
      <c r="AZ2" s="36" t="inlineStr">
        <is>
          <t>2025年4月</t>
        </is>
      </c>
      <c r="BA2" s="36" t="inlineStr">
        <is>
          <t>是否107客商</t>
        </is>
      </c>
      <c r="BB2" s="56" t="inlineStr">
        <is>
          <t>当月已付款</t>
        </is>
      </c>
      <c r="BC2" s="56" t="inlineStr">
        <is>
          <t>当年已付款</t>
        </is>
      </c>
      <c r="BD2" s="56" t="inlineStr">
        <is>
          <t>当月暂估(含税)</t>
        </is>
      </c>
      <c r="BE2" s="51" t="inlineStr">
        <is>
          <t>负责人</t>
        </is>
      </c>
      <c r="BF2" s="29" t="inlineStr">
        <is>
          <t xml:space="preserve">   -1个月内应付款</t>
        </is>
      </c>
      <c r="BG2" s="29" t="inlineStr">
        <is>
          <t xml:space="preserve">   -1-2个月应付款</t>
        </is>
      </c>
      <c r="BH2" s="29" t="inlineStr">
        <is>
          <t xml:space="preserve">   -2-3个月应付款</t>
        </is>
      </c>
      <c r="BI2" s="29" t="inlineStr">
        <is>
          <t xml:space="preserve">   -3-4个月应付款</t>
        </is>
      </c>
      <c r="BJ2" s="29" t="inlineStr">
        <is>
          <t xml:space="preserve">   -4-5个月应付款</t>
        </is>
      </c>
      <c r="BK2" s="29" t="inlineStr">
        <is>
          <t xml:space="preserve">   -5-6个月应付款</t>
        </is>
      </c>
      <c r="BL2" s="29" t="inlineStr">
        <is>
          <t xml:space="preserve">   -6个月以上月应付款</t>
        </is>
      </c>
      <c r="BM2" s="57" t="inlineStr">
        <is>
          <t>当年采购额</t>
        </is>
      </c>
      <c r="BN2" s="57" t="inlineStr">
        <is>
          <t>上月采购额</t>
        </is>
      </c>
      <c r="BO2" s="57" t="inlineStr">
        <is>
          <t>当年已付款</t>
        </is>
      </c>
      <c r="BP2" s="57" t="inlineStr">
        <is>
          <t>当月已付款</t>
        </is>
      </c>
      <c r="BQ2" s="57" t="inlineStr">
        <is>
          <t>总余额</t>
        </is>
      </c>
      <c r="BR2" s="57" t="inlineStr">
        <is>
          <t>当月暂估(含税)</t>
        </is>
      </c>
    </row>
    <row r="3" ht="23" customFormat="1" customHeight="1" s="5">
      <c r="A3" s="17" t="n"/>
      <c r="B3" s="18" t="n"/>
      <c r="C3" s="19" t="n"/>
      <c r="D3" s="20" t="n"/>
      <c r="E3" s="20" t="n"/>
      <c r="F3" s="20" t="n"/>
      <c r="G3" s="51" t="n"/>
      <c r="H3" s="51" t="n"/>
      <c r="I3" s="51" t="n"/>
      <c r="J3" s="51" t="n"/>
      <c r="K3" s="51" t="n"/>
      <c r="L3" s="51" t="n"/>
      <c r="M3" s="51" t="n"/>
      <c r="N3" s="58" t="n"/>
      <c r="O3" s="59" t="n"/>
      <c r="P3" s="59" t="n"/>
      <c r="Q3" s="54" t="inlineStr">
        <is>
          <t>银行名称</t>
        </is>
      </c>
      <c r="R3" s="55" t="inlineStr">
        <is>
          <t>平安银行</t>
        </is>
      </c>
      <c r="S3" s="55" t="inlineStr">
        <is>
          <t>兴业银行</t>
        </is>
      </c>
      <c r="T3" s="55" t="inlineStr">
        <is>
          <t>中国银行</t>
        </is>
      </c>
      <c r="U3" s="55" t="inlineStr">
        <is>
          <t>浦发银行信用证</t>
        </is>
      </c>
      <c r="V3" s="55" t="inlineStr">
        <is>
          <t>易信</t>
        </is>
      </c>
      <c r="W3" s="55" t="inlineStr">
        <is>
          <t>资金计划</t>
        </is>
      </c>
      <c r="X3" s="55" t="n"/>
      <c r="Y3" s="26" t="n"/>
      <c r="Z3" s="26" t="n"/>
      <c r="AA3" s="26" t="n"/>
      <c r="AB3" s="26" t="n"/>
      <c r="AC3" s="26" t="n"/>
      <c r="AD3" s="26" t="n"/>
      <c r="AE3" s="26" t="n"/>
      <c r="AF3" s="26" t="n"/>
      <c r="AG3" s="26" t="n"/>
      <c r="AH3" s="26" t="n"/>
      <c r="AI3" s="26" t="n"/>
      <c r="AJ3" s="26" t="n"/>
      <c r="AK3" s="26" t="n"/>
      <c r="AL3" s="26" t="n"/>
      <c r="AM3" s="26" t="n"/>
      <c r="AN3" s="36" t="n"/>
      <c r="AO3" s="36" t="n"/>
      <c r="AP3" s="36" t="n"/>
      <c r="AQ3" s="36" t="n"/>
      <c r="AR3" s="36" t="n"/>
      <c r="AS3" s="36" t="n"/>
      <c r="AT3" s="36" t="n"/>
      <c r="AU3" s="36" t="n"/>
      <c r="AV3" s="36" t="n"/>
      <c r="AW3" s="36" t="n"/>
      <c r="AX3" s="36" t="n"/>
      <c r="AY3" s="36" t="n"/>
      <c r="AZ3" s="36" t="n"/>
      <c r="BA3" s="36" t="n"/>
      <c r="BB3" s="56" t="n"/>
      <c r="BC3" s="56" t="n"/>
      <c r="BD3" s="56" t="n"/>
      <c r="BE3" s="51" t="n"/>
      <c r="BF3" s="29" t="n"/>
      <c r="BG3" s="29" t="n"/>
      <c r="BH3" s="29" t="n"/>
      <c r="BI3" s="29" t="n"/>
      <c r="BJ3" s="29" t="n"/>
      <c r="BK3" s="29" t="n"/>
      <c r="BL3" s="29" t="n"/>
      <c r="BM3" s="57" t="n"/>
      <c r="BN3" s="57" t="n"/>
      <c r="BO3" s="57" t="n"/>
      <c r="BP3" s="57" t="n"/>
      <c r="BQ3" s="57" t="n"/>
      <c r="BR3" s="57" t="n"/>
    </row>
    <row r="4" ht="23" customFormat="1" customHeight="1" s="5">
      <c r="A4" s="17" t="n"/>
      <c r="B4" s="18" t="n"/>
      <c r="C4" s="19" t="n"/>
      <c r="D4" s="20" t="n"/>
      <c r="E4" s="20" t="n"/>
      <c r="F4" s="20" t="n"/>
      <c r="G4" s="51" t="n"/>
      <c r="H4" s="51" t="n"/>
      <c r="I4" s="51" t="n"/>
      <c r="J4" s="51" t="n"/>
      <c r="K4" s="51" t="n"/>
      <c r="L4" s="51" t="n"/>
      <c r="M4" s="51" t="n"/>
      <c r="N4" s="58" t="n"/>
      <c r="O4" s="59" t="n"/>
      <c r="P4" s="59" t="n"/>
      <c r="Q4" s="54" t="inlineStr">
        <is>
          <t>排款总额</t>
        </is>
      </c>
      <c r="R4" s="55" t="n">
        <v>12930000</v>
      </c>
      <c r="S4" s="55" t="n">
        <v>20000000</v>
      </c>
      <c r="T4" s="55" t="n">
        <v>1000000</v>
      </c>
      <c r="U4" s="55" t="n">
        <v>7000000</v>
      </c>
      <c r="V4" s="55" t="n">
        <v>1110000</v>
      </c>
      <c r="W4" s="55" t="n">
        <v>3000000</v>
      </c>
      <c r="X4" s="55" t="n"/>
      <c r="Y4" s="26" t="n"/>
      <c r="Z4" s="26" t="n"/>
      <c r="AA4" s="26" t="n"/>
      <c r="AB4" s="26" t="n"/>
      <c r="AC4" s="26" t="n"/>
      <c r="AD4" s="26" t="n"/>
      <c r="AE4" s="26" t="n"/>
      <c r="AF4" s="26" t="n"/>
      <c r="AG4" s="26" t="n"/>
      <c r="AH4" s="26" t="n"/>
      <c r="AI4" s="26" t="n"/>
      <c r="AJ4" s="26" t="n"/>
      <c r="AK4" s="26" t="n"/>
      <c r="AL4" s="26" t="n"/>
      <c r="AM4" s="26" t="n"/>
      <c r="AN4" s="36" t="n"/>
      <c r="AO4" s="36" t="n"/>
      <c r="AP4" s="36" t="n"/>
      <c r="AQ4" s="36" t="n"/>
      <c r="AR4" s="36" t="n"/>
      <c r="AS4" s="36" t="n"/>
      <c r="AT4" s="36" t="n"/>
      <c r="AU4" s="36" t="n"/>
      <c r="AV4" s="36" t="n"/>
      <c r="AW4" s="36" t="n"/>
      <c r="AX4" s="36" t="n"/>
      <c r="AY4" s="36" t="n"/>
      <c r="AZ4" s="36" t="n"/>
      <c r="BA4" s="36" t="n"/>
      <c r="BB4" s="56" t="n"/>
      <c r="BC4" s="56" t="n"/>
      <c r="BD4" s="56" t="n"/>
      <c r="BE4" s="51" t="n"/>
      <c r="BF4" s="29" t="n"/>
      <c r="BG4" s="29" t="n"/>
      <c r="BH4" s="29" t="n"/>
      <c r="BI4" s="29" t="n"/>
      <c r="BJ4" s="29" t="n"/>
      <c r="BK4" s="29" t="n"/>
      <c r="BL4" s="29" t="n"/>
      <c r="BM4" s="57" t="n"/>
      <c r="BN4" s="57" t="n"/>
      <c r="BO4" s="57" t="n"/>
      <c r="BP4" s="57" t="n"/>
      <c r="BQ4" s="57" t="n"/>
      <c r="BR4" s="57" t="n"/>
    </row>
    <row r="5" ht="23" customFormat="1" customHeight="1" s="5">
      <c r="A5" s="17" t="n"/>
      <c r="B5" s="18" t="n"/>
      <c r="C5" s="19" t="n"/>
      <c r="D5" s="20" t="n"/>
      <c r="E5" s="20" t="n"/>
      <c r="F5" s="20" t="n"/>
      <c r="G5" s="51" t="n"/>
      <c r="H5" s="51" t="n"/>
      <c r="I5" s="51" t="n"/>
      <c r="J5" s="51" t="n"/>
      <c r="K5" s="51" t="n"/>
      <c r="L5" s="51" t="n"/>
      <c r="M5" s="51" t="n"/>
      <c r="N5" s="58" t="n"/>
      <c r="O5" s="59" t="n"/>
      <c r="P5" s="59" t="n"/>
      <c r="Q5" s="54" t="inlineStr">
        <is>
          <t>排款余额</t>
        </is>
      </c>
      <c r="R5" s="55" t="n">
        <v>5573.01900000016</v>
      </c>
      <c r="S5" s="55" t="n">
        <v>3105440.507999999</v>
      </c>
      <c r="T5" s="55" t="n">
        <v>1000000</v>
      </c>
      <c r="U5" s="55" t="n">
        <v>5301121.147</v>
      </c>
      <c r="V5" s="55" t="n">
        <v>1110000</v>
      </c>
      <c r="W5" s="55" t="n">
        <v>2754149.714</v>
      </c>
      <c r="X5" s="55" t="n"/>
      <c r="Y5" s="26" t="n"/>
      <c r="Z5" s="26" t="n"/>
      <c r="AA5" s="26" t="n"/>
      <c r="AB5" s="26" t="n"/>
      <c r="AC5" s="26" t="n"/>
      <c r="AD5" s="26" t="n"/>
      <c r="AE5" s="26" t="n"/>
      <c r="AF5" s="26" t="n"/>
      <c r="AG5" s="26" t="n"/>
      <c r="AH5" s="26" t="n"/>
      <c r="AI5" s="26" t="n"/>
      <c r="AJ5" s="26" t="n"/>
      <c r="AK5" s="26" t="n"/>
      <c r="AL5" s="26" t="n"/>
      <c r="AM5" s="26" t="n"/>
      <c r="AN5" s="36" t="n"/>
      <c r="AO5" s="36" t="n"/>
      <c r="AP5" s="36" t="n"/>
      <c r="AQ5" s="36" t="n"/>
      <c r="AR5" s="36" t="n"/>
      <c r="AS5" s="36" t="n"/>
      <c r="AT5" s="36" t="n"/>
      <c r="AU5" s="36" t="n"/>
      <c r="AV5" s="36" t="n"/>
      <c r="AW5" s="36" t="n"/>
      <c r="AX5" s="36" t="n"/>
      <c r="AY5" s="36" t="n"/>
      <c r="AZ5" s="36" t="n"/>
      <c r="BA5" s="36" t="n"/>
      <c r="BB5" s="56" t="n"/>
      <c r="BC5" s="56" t="n"/>
      <c r="BD5" s="56" t="n"/>
      <c r="BE5" s="51" t="n"/>
      <c r="BF5" s="29" t="n"/>
      <c r="BG5" s="29" t="n"/>
      <c r="BH5" s="29" t="n"/>
      <c r="BI5" s="29" t="n"/>
      <c r="BJ5" s="29" t="n"/>
      <c r="BK5" s="29" t="n"/>
      <c r="BL5" s="29" t="n"/>
      <c r="BM5" s="57" t="n"/>
      <c r="BN5" s="57" t="n"/>
      <c r="BO5" s="57" t="n"/>
      <c r="BP5" s="57" t="n"/>
      <c r="BQ5" s="57" t="n"/>
      <c r="BR5" s="57" t="n"/>
    </row>
    <row r="6" ht="23" customFormat="1" customHeight="1" s="5">
      <c r="A6" s="17" t="n"/>
      <c r="B6" s="18" t="n"/>
      <c r="C6" s="19" t="n"/>
      <c r="D6" s="20" t="n"/>
      <c r="E6" s="20" t="n"/>
      <c r="F6" s="20" t="n"/>
      <c r="G6" s="51" t="n"/>
      <c r="H6" s="51" t="n"/>
      <c r="I6" s="51" t="n"/>
      <c r="J6" s="51" t="n"/>
      <c r="K6" s="51" t="n"/>
      <c r="L6" s="51" t="n"/>
      <c r="M6" s="51" t="n"/>
      <c r="N6" s="58" t="n"/>
      <c r="O6" s="59" t="n"/>
      <c r="P6" s="59" t="n"/>
      <c r="Q6" s="54" t="inlineStr">
        <is>
          <t>放款日期</t>
        </is>
      </c>
      <c r="R6" s="60" t="n">
        <v>46153</v>
      </c>
      <c r="S6" s="60" t="n">
        <v>46162</v>
      </c>
      <c r="T6" s="60" t="n">
        <v>46162</v>
      </c>
      <c r="U6" s="60" t="n">
        <v>46172</v>
      </c>
      <c r="V6" s="60" t="n">
        <v>46172</v>
      </c>
      <c r="W6" s="60" t="n">
        <v>46143</v>
      </c>
      <c r="X6" s="55" t="n"/>
      <c r="Y6" s="26" t="n"/>
      <c r="Z6" s="26" t="n"/>
      <c r="AA6" s="26" t="n"/>
      <c r="AB6" s="26" t="n"/>
      <c r="AC6" s="26" t="n"/>
      <c r="AD6" s="26" t="n"/>
      <c r="AE6" s="26" t="n"/>
      <c r="AF6" s="26" t="n"/>
      <c r="AG6" s="26" t="n"/>
      <c r="AH6" s="26" t="n"/>
      <c r="AI6" s="26" t="n"/>
      <c r="AJ6" s="26" t="n"/>
      <c r="AK6" s="26" t="n"/>
      <c r="AL6" s="26" t="n"/>
      <c r="AM6" s="26" t="n"/>
      <c r="AN6" s="36" t="n"/>
      <c r="AO6" s="36" t="n"/>
      <c r="AP6" s="36" t="n"/>
      <c r="AQ6" s="36" t="n"/>
      <c r="AR6" s="36" t="n"/>
      <c r="AS6" s="36" t="n"/>
      <c r="AT6" s="36" t="n"/>
      <c r="AU6" s="36" t="n"/>
      <c r="AV6" s="36" t="n"/>
      <c r="AW6" s="36" t="n"/>
      <c r="AX6" s="36" t="n"/>
      <c r="AY6" s="36" t="n"/>
      <c r="AZ6" s="36" t="n"/>
      <c r="BA6" s="36" t="n"/>
      <c r="BB6" s="56" t="n"/>
      <c r="BC6" s="56" t="n"/>
      <c r="BD6" s="56" t="n"/>
      <c r="BE6" s="51" t="n"/>
      <c r="BF6" s="29" t="n"/>
      <c r="BG6" s="29" t="n"/>
      <c r="BH6" s="29" t="n"/>
      <c r="BI6" s="29" t="n"/>
      <c r="BJ6" s="29" t="n"/>
      <c r="BK6" s="29" t="n"/>
      <c r="BL6" s="29" t="n"/>
      <c r="BM6" s="57" t="n"/>
      <c r="BN6" s="57" t="n"/>
      <c r="BO6" s="57" t="n"/>
      <c r="BP6" s="57" t="n"/>
      <c r="BQ6" s="57" t="n"/>
      <c r="BR6" s="57" t="n"/>
    </row>
    <row r="7" ht="23" customFormat="1" customHeight="1" s="5">
      <c r="A7" s="17" t="n"/>
      <c r="B7" s="18" t="n"/>
      <c r="C7" s="19" t="n"/>
      <c r="D7" s="20" t="n"/>
      <c r="E7" s="20" t="n"/>
      <c r="F7" s="20" t="n"/>
      <c r="G7" s="51" t="n"/>
      <c r="H7" s="51" t="n"/>
      <c r="I7" s="51" t="n"/>
      <c r="J7" s="51" t="n"/>
      <c r="K7" s="51" t="n"/>
      <c r="L7" s="51" t="n"/>
      <c r="M7" s="51" t="n"/>
      <c r="N7" s="58" t="n"/>
      <c r="O7" s="59" t="n"/>
      <c r="P7" s="59" t="n"/>
      <c r="Q7" s="54" t="inlineStr">
        <is>
          <t>可支付的主体</t>
        </is>
      </c>
      <c r="R7" s="55" t="inlineStr">
        <is>
          <t>广州集泰化工股份有限公司、广州从化兆舜新材料有限公司、安庆诚泰新材料有限公司</t>
        </is>
      </c>
      <c r="S7" s="55" t="inlineStr">
        <is>
          <t>广州集泰化工股份有限公司、广州从化兆舜新材料有限公司、安庆诚泰新材料有限公司</t>
        </is>
      </c>
      <c r="T7" s="55" t="inlineStr">
        <is>
          <t>广州集泰化工股份有限公司</t>
        </is>
      </c>
      <c r="U7" s="55" t="inlineStr">
        <is>
          <t>广州集泰化工股份有限公司</t>
        </is>
      </c>
      <c r="V7" s="55" t="inlineStr">
        <is>
          <t>广州集泰化工股份有限公司</t>
        </is>
      </c>
      <c r="W7" s="55" t="inlineStr">
        <is>
          <t>广州集泰化工股份有限公司、广州从化兆舜新材料有限公司、安庆诚泰新材料有限公司、安徽集泰新材料有限公司</t>
        </is>
      </c>
      <c r="X7" s="55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36" t="n"/>
      <c r="AO7" s="36" t="n"/>
      <c r="AP7" s="36" t="n"/>
      <c r="AQ7" s="36" t="n"/>
      <c r="AR7" s="36" t="n"/>
      <c r="AS7" s="36" t="n"/>
      <c r="AT7" s="36" t="n"/>
      <c r="AU7" s="36" t="n"/>
      <c r="AV7" s="36" t="n"/>
      <c r="AW7" s="36" t="n"/>
      <c r="AX7" s="36" t="n"/>
      <c r="AY7" s="36" t="n"/>
      <c r="AZ7" s="36" t="n"/>
      <c r="BA7" s="36" t="n"/>
      <c r="BB7" s="56" t="n"/>
      <c r="BC7" s="56" t="n"/>
      <c r="BD7" s="56" t="n"/>
      <c r="BE7" s="51" t="n"/>
      <c r="BF7" s="29" t="n"/>
      <c r="BG7" s="29" t="n"/>
      <c r="BH7" s="29" t="n"/>
      <c r="BI7" s="29" t="n"/>
      <c r="BJ7" s="29" t="n"/>
      <c r="BK7" s="29" t="n"/>
      <c r="BL7" s="29" t="n"/>
      <c r="BM7" s="57" t="n"/>
      <c r="BN7" s="57" t="n"/>
      <c r="BO7" s="57" t="n"/>
      <c r="BP7" s="57" t="n"/>
      <c r="BQ7" s="57" t="n"/>
      <c r="BR7" s="57" t="n"/>
    </row>
    <row r="8" ht="23" customFormat="1" customHeight="1" s="5">
      <c r="A8" s="17" t="n"/>
      <c r="B8" s="18" t="n"/>
      <c r="C8" s="19" t="n"/>
      <c r="D8" s="20" t="n"/>
      <c r="E8" s="20" t="n"/>
      <c r="F8" s="20" t="n"/>
      <c r="G8" s="51" t="n"/>
      <c r="H8" s="51" t="n"/>
      <c r="I8" s="51" t="n"/>
      <c r="J8" s="51" t="n"/>
      <c r="K8" s="51" t="n"/>
      <c r="L8" s="51" t="n"/>
      <c r="M8" s="51" t="n"/>
      <c r="N8" s="58" t="n"/>
      <c r="O8" s="59" t="n"/>
      <c r="P8" s="59" t="n"/>
      <c r="Q8" s="54" t="inlineStr">
        <is>
          <t>付款方式</t>
        </is>
      </c>
      <c r="R8" s="55" t="inlineStr">
        <is>
          <t>银承</t>
        </is>
      </c>
      <c r="S8" s="55" t="inlineStr">
        <is>
          <t>银承、电汇</t>
        </is>
      </c>
      <c r="T8" s="55" t="inlineStr">
        <is>
          <t>电汇</t>
        </is>
      </c>
      <c r="U8" s="55" t="inlineStr">
        <is>
          <t>浦发银行信用证</t>
        </is>
      </c>
      <c r="V8" s="55" t="inlineStr">
        <is>
          <t>易信</t>
        </is>
      </c>
      <c r="W8" s="55" t="inlineStr">
        <is>
          <t>电汇、银承、商承、建信、云信、航信</t>
        </is>
      </c>
      <c r="X8" s="55" t="n"/>
      <c r="Y8" s="26" t="n"/>
      <c r="Z8" s="26" t="n"/>
      <c r="AA8" s="26" t="n"/>
      <c r="AB8" s="26" t="n"/>
      <c r="AC8" s="26" t="n"/>
      <c r="AD8" s="26" t="n"/>
      <c r="AE8" s="26" t="n"/>
      <c r="AF8" s="26" t="n"/>
      <c r="AG8" s="26" t="n"/>
      <c r="AH8" s="26" t="n"/>
      <c r="AI8" s="26" t="n"/>
      <c r="AJ8" s="26" t="n"/>
      <c r="AK8" s="26" t="n"/>
      <c r="AL8" s="26" t="n"/>
      <c r="AM8" s="26" t="n"/>
      <c r="AN8" s="36" t="n"/>
      <c r="AO8" s="36" t="n"/>
      <c r="AP8" s="36" t="n"/>
      <c r="AQ8" s="36" t="n"/>
      <c r="AR8" s="36" t="n"/>
      <c r="AS8" s="36" t="n"/>
      <c r="AT8" s="36" t="n"/>
      <c r="AU8" s="36" t="n"/>
      <c r="AV8" s="36" t="n"/>
      <c r="AW8" s="36" t="n"/>
      <c r="AX8" s="36" t="n"/>
      <c r="AY8" s="36" t="n"/>
      <c r="AZ8" s="36" t="n"/>
      <c r="BA8" s="36" t="n"/>
      <c r="BB8" s="56" t="n"/>
      <c r="BC8" s="56" t="n"/>
      <c r="BD8" s="56" t="n"/>
      <c r="BE8" s="51" t="n"/>
      <c r="BF8" s="29" t="n"/>
      <c r="BG8" s="29" t="n"/>
      <c r="BH8" s="29" t="n"/>
      <c r="BI8" s="29" t="n"/>
      <c r="BJ8" s="29" t="n"/>
      <c r="BK8" s="29" t="n"/>
      <c r="BL8" s="29" t="n"/>
      <c r="BM8" s="57" t="n"/>
      <c r="BN8" s="57" t="n"/>
      <c r="BO8" s="57" t="n"/>
      <c r="BP8" s="57" t="n"/>
      <c r="BQ8" s="57" t="n"/>
      <c r="BR8" s="57" t="n"/>
    </row>
    <row r="9" customFormat="1" s="5">
      <c r="A9" s="34" t="inlineStr">
        <is>
          <t>广州集泰化工股份有限公司</t>
        </is>
      </c>
      <c r="B9" s="35" t="inlineStr">
        <is>
          <t>G110101066</t>
        </is>
      </c>
      <c r="C9" s="36" t="inlineStr">
        <is>
          <t>广州市华生油漆颜料有限公司</t>
        </is>
      </c>
      <c r="D9" s="36" t="n"/>
      <c r="E9" s="36" t="n">
        <v>1</v>
      </c>
      <c r="F9" s="37" t="n">
        <v>46172</v>
      </c>
      <c r="G9" s="36" t="inlineStr">
        <is>
          <t>曹星</t>
        </is>
      </c>
      <c r="H9" s="36" t="n">
        <v>5000</v>
      </c>
      <c r="I9" s="36" t="inlineStr">
        <is>
          <t>色粉</t>
        </is>
      </c>
      <c r="J9" s="36" t="n">
        <v>45</v>
      </c>
      <c r="K9" s="36" t="n">
        <v>90</v>
      </c>
      <c r="L9" s="44" t="n">
        <v>0</v>
      </c>
      <c r="M9" s="36" t="inlineStr">
        <is>
          <t>银承/电汇</t>
        </is>
      </c>
      <c r="N9" s="36" t="n"/>
      <c r="O9" s="61" t="n">
        <v>17719.2</v>
      </c>
      <c r="P9" s="61" t="n"/>
      <c r="Q9" s="36" t="n"/>
      <c r="R9" s="36" t="n"/>
      <c r="S9" s="36" t="n"/>
      <c r="T9" s="36" t="n"/>
      <c r="U9" s="36" t="n"/>
      <c r="V9" s="36" t="n"/>
      <c r="W9" s="36" t="n">
        <v>17719.2</v>
      </c>
      <c r="X9" s="36" t="n"/>
      <c r="Y9" s="61" t="n">
        <v>25688</v>
      </c>
      <c r="Z9" s="61" t="n">
        <v>3000</v>
      </c>
      <c r="AA9" s="61" t="n">
        <v>3000</v>
      </c>
      <c r="AB9" s="65" t="n">
        <v>2345</v>
      </c>
      <c r="AC9" s="66" t="n">
        <v>2343</v>
      </c>
      <c r="AD9" s="66" t="n">
        <v>9000</v>
      </c>
      <c r="AE9" s="66" t="n">
        <v>6000</v>
      </c>
      <c r="AF9" s="61" t="n">
        <v>0</v>
      </c>
      <c r="AG9" s="61" t="n">
        <v>0</v>
      </c>
      <c r="AH9" s="61" t="n">
        <v>0</v>
      </c>
      <c r="AI9" s="61" t="n">
        <v>0</v>
      </c>
      <c r="AJ9" s="61" t="n">
        <v>0</v>
      </c>
      <c r="AK9" s="61" t="n">
        <v>0</v>
      </c>
      <c r="AL9" s="61" t="n">
        <v>0</v>
      </c>
      <c r="AM9" s="61" t="n"/>
      <c r="AN9" s="61" t="n">
        <v>29000</v>
      </c>
      <c r="AO9" s="61" t="n">
        <v>108000</v>
      </c>
      <c r="AP9" s="61" t="n">
        <v>62000</v>
      </c>
      <c r="AQ9" s="61" t="n">
        <v>131600</v>
      </c>
      <c r="AR9" s="61" t="n">
        <v>82000</v>
      </c>
      <c r="AS9" s="61" t="n">
        <v>76400</v>
      </c>
      <c r="AT9" s="61" t="n">
        <v>109000</v>
      </c>
      <c r="AU9" s="61" t="n">
        <v>172500</v>
      </c>
      <c r="AV9" s="61" t="n">
        <v>107000</v>
      </c>
      <c r="AW9" s="61" t="n">
        <v>244000</v>
      </c>
      <c r="AX9" s="61" t="n">
        <v>228500</v>
      </c>
      <c r="AY9" s="61" t="n">
        <v>180500</v>
      </c>
      <c r="AZ9" s="61" t="n">
        <v>132000</v>
      </c>
      <c r="BA9" s="61" t="inlineStr">
        <is>
          <t>否</t>
        </is>
      </c>
      <c r="BB9" s="61" t="n">
        <v>170000</v>
      </c>
      <c r="BC9" s="61" t="n">
        <v>321000</v>
      </c>
      <c r="BD9" s="61" t="n">
        <v>0</v>
      </c>
      <c r="BE9" s="36" t="inlineStr">
        <is>
          <t>曹星</t>
        </is>
      </c>
      <c r="BF9" s="61" t="n">
        <v>29000</v>
      </c>
      <c r="BG9" s="61" t="n">
        <v>108000</v>
      </c>
      <c r="BH9" s="61" t="n">
        <v>62000</v>
      </c>
      <c r="BI9" s="61" t="n">
        <v>131600</v>
      </c>
      <c r="BJ9" s="61" t="n">
        <v>82000</v>
      </c>
      <c r="BK9" s="61" t="n">
        <v>76400</v>
      </c>
      <c r="BL9" s="61" t="n">
        <v>107986</v>
      </c>
      <c r="BM9" s="36" t="n">
        <v>29000</v>
      </c>
      <c r="BN9" s="36" t="n">
        <v>108000</v>
      </c>
      <c r="BO9" s="36" t="n">
        <v>321000</v>
      </c>
      <c r="BP9" s="36" t="n">
        <v>170000</v>
      </c>
      <c r="BQ9" s="36" t="n">
        <v>596986</v>
      </c>
      <c r="BR9" s="36" t="n">
        <v>0</v>
      </c>
    </row>
    <row r="10" customFormat="1" s="5">
      <c r="A10" s="34" t="inlineStr">
        <is>
          <t>广州集泰化工股份有限公司</t>
        </is>
      </c>
      <c r="B10" s="35" t="inlineStr">
        <is>
          <t>G110101086</t>
        </is>
      </c>
      <c r="C10" s="36" t="inlineStr">
        <is>
          <t>深圳市同益树脂有限公司</t>
        </is>
      </c>
      <c r="D10" s="36" t="n"/>
      <c r="E10" s="36" t="n">
        <v>2</v>
      </c>
      <c r="F10" s="37" t="n">
        <v>46172</v>
      </c>
      <c r="G10" s="36" t="inlineStr">
        <is>
          <t>彭时莎</t>
        </is>
      </c>
      <c r="H10" s="36" t="n">
        <v>9000</v>
      </c>
      <c r="I10" s="36" t="inlineStr">
        <is>
          <t>溶剂、树脂</t>
        </is>
      </c>
      <c r="J10" s="36" t="n">
        <v>150</v>
      </c>
      <c r="K10" s="36" t="n">
        <v>150</v>
      </c>
      <c r="L10" s="44" t="n">
        <v>0</v>
      </c>
      <c r="M10" s="36" t="inlineStr">
        <is>
          <t>商承/银承/电汇</t>
        </is>
      </c>
      <c r="N10" s="36" t="n"/>
      <c r="O10" s="61" t="n">
        <v>9000</v>
      </c>
      <c r="P10" s="61" t="n"/>
      <c r="Q10" s="36" t="n"/>
      <c r="R10" s="36" t="n"/>
      <c r="S10" s="36" t="n"/>
      <c r="T10" s="36" t="n"/>
      <c r="U10" s="36" t="n"/>
      <c r="V10" s="36" t="n"/>
      <c r="W10" s="36" t="n">
        <v>9000</v>
      </c>
      <c r="X10" s="36" t="n"/>
      <c r="Y10" s="61" t="n">
        <v>95354</v>
      </c>
      <c r="Z10" s="61" t="n">
        <v>6789</v>
      </c>
      <c r="AA10" s="61" t="n">
        <v>766</v>
      </c>
      <c r="AB10" s="61" t="n">
        <v>33344</v>
      </c>
      <c r="AC10" s="61" t="n">
        <v>44455</v>
      </c>
      <c r="AD10" s="67" t="n">
        <v>10000</v>
      </c>
      <c r="AE10" s="61" t="n">
        <v>0</v>
      </c>
      <c r="AF10" s="61" t="n">
        <v>0</v>
      </c>
      <c r="AG10" s="61" t="n"/>
      <c r="AH10" s="61" t="n"/>
      <c r="AI10" s="61" t="n">
        <v>0</v>
      </c>
      <c r="AJ10" s="61" t="n">
        <v>0</v>
      </c>
      <c r="AK10" s="61" t="n">
        <v>0</v>
      </c>
      <c r="AL10" s="61" t="n">
        <v>0</v>
      </c>
      <c r="AM10" s="61" t="n"/>
      <c r="AN10" s="61" t="n">
        <v>95960</v>
      </c>
      <c r="AO10" s="61" t="n">
        <v>92960</v>
      </c>
      <c r="AP10" s="61" t="n">
        <v>0</v>
      </c>
      <c r="AQ10" s="61" t="n">
        <v>36200</v>
      </c>
      <c r="AR10" s="61" t="n">
        <v>149720</v>
      </c>
      <c r="AS10" s="61" t="n">
        <v>92960</v>
      </c>
      <c r="AT10" s="61" t="n">
        <v>0</v>
      </c>
      <c r="AU10" s="61" t="n">
        <v>92960</v>
      </c>
      <c r="AV10" s="61" t="n">
        <v>56760</v>
      </c>
      <c r="AW10" s="61" t="n">
        <v>36600</v>
      </c>
      <c r="AX10" s="61" t="n">
        <v>56760</v>
      </c>
      <c r="AY10" s="61" t="n">
        <v>57620</v>
      </c>
      <c r="AZ10" s="61" t="n">
        <v>94220</v>
      </c>
      <c r="BA10" s="61" t="inlineStr">
        <is>
          <t>否</t>
        </is>
      </c>
      <c r="BB10" s="61" t="n">
        <v>0</v>
      </c>
      <c r="BC10" s="61" t="n">
        <v>100000</v>
      </c>
      <c r="BD10" s="61" t="n">
        <v>0</v>
      </c>
      <c r="BE10" s="36" t="inlineStr">
        <is>
          <t>曹星</t>
        </is>
      </c>
      <c r="BF10" s="61" t="n">
        <v>95960</v>
      </c>
      <c r="BG10" s="61" t="n">
        <v>92960</v>
      </c>
      <c r="BH10" s="61" t="n">
        <v>0</v>
      </c>
      <c r="BI10" s="61" t="n">
        <v>36200</v>
      </c>
      <c r="BJ10" s="61" t="n">
        <v>149720</v>
      </c>
      <c r="BK10" s="61" t="n">
        <v>92960</v>
      </c>
      <c r="BL10" s="61" t="n">
        <v>141761.75</v>
      </c>
      <c r="BM10" s="36" t="n">
        <v>95960</v>
      </c>
      <c r="BN10" s="36" t="n">
        <v>92960</v>
      </c>
      <c r="BO10" s="36" t="n">
        <v>100000</v>
      </c>
      <c r="BP10" s="36" t="n">
        <v>0</v>
      </c>
      <c r="BQ10" s="36" t="n">
        <v>609561.75</v>
      </c>
      <c r="BR10" s="36" t="n">
        <v>0</v>
      </c>
    </row>
    <row r="11" customFormat="1" s="5">
      <c r="A11" s="34" t="inlineStr">
        <is>
          <t>广州集泰化工股份有限公司</t>
        </is>
      </c>
      <c r="B11" s="35" t="inlineStr">
        <is>
          <t>G120102070</t>
        </is>
      </c>
      <c r="C11" s="43" t="inlineStr">
        <is>
          <t>格瑞夫（惠州）包装有限公司</t>
        </is>
      </c>
      <c r="D11" s="36" t="n"/>
      <c r="E11" s="36" t="n">
        <v>2</v>
      </c>
      <c r="F11" s="37" t="n">
        <v>46162</v>
      </c>
      <c r="G11" s="36" t="inlineStr">
        <is>
          <t>彭时莎</t>
        </is>
      </c>
      <c r="H11" s="36" t="n">
        <v>3000</v>
      </c>
      <c r="I11" s="36" t="inlineStr">
        <is>
          <t>铁桶</t>
        </is>
      </c>
      <c r="J11" s="36" t="n">
        <v>60</v>
      </c>
      <c r="K11" s="36" t="n">
        <v>90</v>
      </c>
      <c r="L11" s="44" t="n">
        <v>0</v>
      </c>
      <c r="M11" s="36" t="inlineStr">
        <is>
          <t>银承/电汇</t>
        </is>
      </c>
      <c r="N11" s="36" t="n"/>
      <c r="O11" s="61" t="n">
        <v>14820.3</v>
      </c>
      <c r="P11" s="62" t="n"/>
      <c r="Q11" s="36" t="n"/>
      <c r="R11" s="36" t="n"/>
      <c r="S11" s="36" t="n"/>
      <c r="T11" s="36" t="n"/>
      <c r="U11" s="36" t="n"/>
      <c r="V11" s="36" t="n"/>
      <c r="W11" s="36" t="n">
        <v>14820.3</v>
      </c>
      <c r="X11" s="36" t="n"/>
      <c r="Y11" s="61" t="n">
        <v>19142</v>
      </c>
      <c r="Z11" s="61" t="n">
        <v>2343</v>
      </c>
      <c r="AA11" s="61" t="n">
        <v>332</v>
      </c>
      <c r="AB11" s="68" t="n">
        <v>12344</v>
      </c>
      <c r="AC11" s="66" t="n">
        <v>1123</v>
      </c>
      <c r="AD11" s="66" t="n">
        <v>2000</v>
      </c>
      <c r="AE11" s="66" t="n">
        <v>1000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0</v>
      </c>
      <c r="AM11" s="61" t="n"/>
      <c r="AN11" s="61" t="n">
        <v>94800</v>
      </c>
      <c r="AO11" s="61" t="n">
        <v>100232</v>
      </c>
      <c r="AP11" s="61" t="n">
        <v>33600</v>
      </c>
      <c r="AQ11" s="61" t="n">
        <v>97800</v>
      </c>
      <c r="AR11" s="61" t="n">
        <v>64000</v>
      </c>
      <c r="AS11" s="61" t="n">
        <v>97800</v>
      </c>
      <c r="AT11" s="61" t="n">
        <v>223440</v>
      </c>
      <c r="AU11" s="61" t="n">
        <v>0</v>
      </c>
      <c r="AV11" s="61" t="n">
        <v>128232</v>
      </c>
      <c r="AW11" s="61" t="n">
        <v>193100</v>
      </c>
      <c r="AX11" s="61" t="n">
        <v>224852</v>
      </c>
      <c r="AY11" s="61" t="n">
        <v>193240</v>
      </c>
      <c r="AZ11" s="61" t="n">
        <v>196600</v>
      </c>
      <c r="BA11" s="61" t="inlineStr">
        <is>
          <t>否</t>
        </is>
      </c>
      <c r="BB11" s="61" t="n">
        <v>97000</v>
      </c>
      <c r="BC11" s="61" t="n">
        <v>480018.34</v>
      </c>
      <c r="BD11" s="61" t="n">
        <v>0</v>
      </c>
      <c r="BE11" s="36" t="inlineStr">
        <is>
          <t>曹星</t>
        </is>
      </c>
      <c r="BF11" s="61" t="n">
        <v>94800</v>
      </c>
      <c r="BG11" s="61" t="n">
        <v>100232</v>
      </c>
      <c r="BH11" s="61" t="n">
        <v>33399.26</v>
      </c>
      <c r="BI11" s="61" t="n">
        <v>0</v>
      </c>
      <c r="BJ11" s="61" t="n">
        <v>0</v>
      </c>
      <c r="BK11" s="61" t="n">
        <v>0</v>
      </c>
      <c r="BL11" s="61" t="n">
        <v>0</v>
      </c>
      <c r="BM11" s="36" t="n">
        <v>94800</v>
      </c>
      <c r="BN11" s="36" t="n">
        <v>100232</v>
      </c>
      <c r="BO11" s="36" t="n">
        <v>480018.34</v>
      </c>
      <c r="BP11" s="36" t="n">
        <v>97000</v>
      </c>
      <c r="BQ11" s="36" t="n">
        <v>228431.26</v>
      </c>
      <c r="BR11" s="36" t="n">
        <v>0</v>
      </c>
    </row>
    <row r="12" customFormat="1" s="5">
      <c r="A12" s="34" t="inlineStr">
        <is>
          <t>广州集泰化工股份有限公司</t>
        </is>
      </c>
      <c r="B12" s="35" t="inlineStr">
        <is>
          <t>G120102074</t>
        </is>
      </c>
      <c r="C12" s="36" t="inlineStr">
        <is>
          <t>东莞市翊普精密电子有限公司</t>
        </is>
      </c>
      <c r="D12" s="36" t="n"/>
      <c r="E12" s="36" t="n">
        <v>2</v>
      </c>
      <c r="F12" s="37" t="n">
        <v>46172</v>
      </c>
      <c r="G12" s="36" t="inlineStr">
        <is>
          <t>彭时莎</t>
        </is>
      </c>
      <c r="H12" s="36" t="n"/>
      <c r="I12" s="36" t="inlineStr">
        <is>
          <t>铁桶</t>
        </is>
      </c>
      <c r="J12" s="36" t="n">
        <v>90</v>
      </c>
      <c r="K12" s="36" t="n">
        <v>90</v>
      </c>
      <c r="L12" s="44" t="n">
        <v>0</v>
      </c>
      <c r="M12" s="36" t="inlineStr">
        <is>
          <t>商承/银承/电汇</t>
        </is>
      </c>
      <c r="N12" s="36" t="n"/>
      <c r="O12" s="61" t="n"/>
      <c r="P12" s="61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61">
        <f>SUM(Z12:AH12)</f>
        <v/>
      </c>
      <c r="Z12" s="61" t="n">
        <v>0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0</v>
      </c>
      <c r="AI12" s="61" t="n">
        <v>0</v>
      </c>
      <c r="AJ12" s="61" t="n">
        <v>0</v>
      </c>
      <c r="AK12" s="61" t="n">
        <v>0</v>
      </c>
      <c r="AL12" s="61" t="n">
        <v>0</v>
      </c>
      <c r="AM12" s="61" t="n"/>
      <c r="AN12" s="61" t="n">
        <v>0</v>
      </c>
      <c r="AO12" s="61" t="n">
        <v>0</v>
      </c>
      <c r="AP12" s="61" t="n">
        <v>0</v>
      </c>
      <c r="AQ12" s="61" t="n">
        <v>0</v>
      </c>
      <c r="AR12" s="61" t="n">
        <v>0</v>
      </c>
      <c r="AS12" s="61" t="n">
        <v>0</v>
      </c>
      <c r="AT12" s="61" t="n">
        <v>0</v>
      </c>
      <c r="AU12" s="61" t="n">
        <v>0</v>
      </c>
      <c r="AV12" s="61" t="n">
        <v>0</v>
      </c>
      <c r="AW12" s="61" t="n">
        <v>0</v>
      </c>
      <c r="AX12" s="61" t="n">
        <v>0</v>
      </c>
      <c r="AY12" s="61" t="n">
        <v>0</v>
      </c>
      <c r="AZ12" s="61" t="n">
        <v>0</v>
      </c>
      <c r="BA12" s="61" t="inlineStr">
        <is>
          <t>否</t>
        </is>
      </c>
      <c r="BB12" s="61" t="n">
        <v>0</v>
      </c>
      <c r="BC12" s="61" t="n">
        <v>0</v>
      </c>
      <c r="BD12" s="61" t="n">
        <v>0</v>
      </c>
      <c r="BE12" s="36" t="inlineStr">
        <is>
          <t>曹星</t>
        </is>
      </c>
      <c r="BF12" s="61" t="n">
        <v>0</v>
      </c>
      <c r="BG12" s="61" t="n">
        <v>0</v>
      </c>
      <c r="BH12" s="61" t="n">
        <v>0</v>
      </c>
      <c r="BI12" s="61" t="n">
        <v>0</v>
      </c>
      <c r="BJ12" s="61" t="n">
        <v>0</v>
      </c>
      <c r="BK12" s="61" t="n">
        <v>0</v>
      </c>
      <c r="BL12" s="61" t="n">
        <v>0</v>
      </c>
      <c r="BM12" s="36" t="n">
        <v>0</v>
      </c>
      <c r="BN12" s="36" t="n">
        <v>0</v>
      </c>
      <c r="BO12" s="36" t="n">
        <v>0</v>
      </c>
      <c r="BP12" s="36" t="n">
        <v>0</v>
      </c>
      <c r="BQ12" s="36" t="n">
        <v>0</v>
      </c>
      <c r="BR12" s="36" t="n">
        <v>0</v>
      </c>
    </row>
    <row r="13" customFormat="1" s="5">
      <c r="A13" s="34" t="inlineStr">
        <is>
          <t>广州集泰化工股份有限公司</t>
        </is>
      </c>
      <c r="B13" s="35" t="inlineStr">
        <is>
          <t>G130901010</t>
        </is>
      </c>
      <c r="C13" s="36" t="inlineStr">
        <is>
          <t>佛山市道宁化工有限公司</t>
        </is>
      </c>
      <c r="D13" s="36" t="n"/>
      <c r="E13" s="36" t="n">
        <v>2</v>
      </c>
      <c r="F13" s="37" t="n">
        <v>46172</v>
      </c>
      <c r="G13" s="36" t="inlineStr">
        <is>
          <t>彭时莎</t>
        </is>
      </c>
      <c r="H13" s="36" t="n"/>
      <c r="I13" s="44" t="n"/>
      <c r="J13" s="36" t="n">
        <v>60</v>
      </c>
      <c r="K13" s="36" t="n">
        <v>90</v>
      </c>
      <c r="L13" s="44" t="n">
        <v>0</v>
      </c>
      <c r="M13" s="36" t="inlineStr">
        <is>
          <t>银承/电汇</t>
        </is>
      </c>
      <c r="N13" s="36" t="n"/>
      <c r="O13" s="61" t="n">
        <v>7989.525</v>
      </c>
      <c r="P13" s="61" t="n"/>
      <c r="Q13" s="36" t="n"/>
      <c r="R13" s="36" t="n"/>
      <c r="S13" s="36" t="n"/>
      <c r="T13" s="36" t="n"/>
      <c r="U13" s="36" t="n"/>
      <c r="V13" s="36" t="n"/>
      <c r="W13" s="36" t="n">
        <v>7989.525</v>
      </c>
      <c r="X13" s="36" t="n"/>
      <c r="Y13" s="61">
        <f>SUM(Z13:AH13)</f>
        <v/>
      </c>
      <c r="Z13" s="61" t="n">
        <v>20900</v>
      </c>
      <c r="AA13" s="61" t="n">
        <v>11525</v>
      </c>
      <c r="AB13" s="69" t="n">
        <v>6250</v>
      </c>
      <c r="AC13" s="66" t="n">
        <v>2627.25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0</v>
      </c>
      <c r="AM13" s="61" t="n"/>
      <c r="AN13" s="61" t="n">
        <v>20900</v>
      </c>
      <c r="AO13" s="61" t="n">
        <v>11525</v>
      </c>
      <c r="AP13" s="61" t="n">
        <v>6250</v>
      </c>
      <c r="AQ13" s="61" t="n">
        <v>3125</v>
      </c>
      <c r="AR13" s="61" t="n">
        <v>9375</v>
      </c>
      <c r="AS13" s="61" t="n">
        <v>3125</v>
      </c>
      <c r="AT13" s="61" t="n">
        <v>14650</v>
      </c>
      <c r="AU13" s="61" t="n">
        <v>17775</v>
      </c>
      <c r="AV13" s="61" t="n">
        <v>6250</v>
      </c>
      <c r="AW13" s="61" t="n">
        <v>20410</v>
      </c>
      <c r="AX13" s="61" t="n">
        <v>9375</v>
      </c>
      <c r="AY13" s="61" t="n">
        <v>23050</v>
      </c>
      <c r="AZ13" s="61" t="n">
        <v>3125</v>
      </c>
      <c r="BA13" s="61" t="inlineStr">
        <is>
          <t>否</t>
        </is>
      </c>
      <c r="BB13" s="61" t="n">
        <v>0</v>
      </c>
      <c r="BC13" s="61" t="n">
        <v>27936.07</v>
      </c>
      <c r="BD13" s="61" t="n">
        <v>0</v>
      </c>
      <c r="BE13" s="36" t="inlineStr">
        <is>
          <t>曹星</t>
        </is>
      </c>
      <c r="BF13" s="61" t="n">
        <v>20900</v>
      </c>
      <c r="BG13" s="61" t="n">
        <v>11525</v>
      </c>
      <c r="BH13" s="61" t="n">
        <v>6250</v>
      </c>
      <c r="BI13" s="61" t="n">
        <v>2627.25</v>
      </c>
      <c r="BJ13" s="61" t="n">
        <v>0</v>
      </c>
      <c r="BK13" s="61" t="n">
        <v>0</v>
      </c>
      <c r="BL13" s="61" t="n">
        <v>0</v>
      </c>
      <c r="BM13" s="36" t="n">
        <v>20900</v>
      </c>
      <c r="BN13" s="36" t="n">
        <v>11525</v>
      </c>
      <c r="BO13" s="36" t="n">
        <v>27936.07</v>
      </c>
      <c r="BP13" s="36" t="n">
        <v>0</v>
      </c>
      <c r="BQ13" s="36" t="n">
        <v>41302.25</v>
      </c>
      <c r="BR13" s="36" t="n">
        <v>0</v>
      </c>
    </row>
    <row r="14" customFormat="1" s="5">
      <c r="A14" s="34" t="inlineStr">
        <is>
          <t>广州集泰化工股份有限公司</t>
        </is>
      </c>
      <c r="B14" s="35" t="inlineStr">
        <is>
          <t>G130901017</t>
        </is>
      </c>
      <c r="C14" s="36" t="inlineStr">
        <is>
          <t>广州市勤朴化工产品有限公司</t>
        </is>
      </c>
      <c r="D14" s="36" t="n"/>
      <c r="E14" s="36" t="n">
        <v>1</v>
      </c>
      <c r="F14" s="37" t="n">
        <v>46172</v>
      </c>
      <c r="G14" s="36" t="inlineStr">
        <is>
          <t>彭时莎</t>
        </is>
      </c>
      <c r="H14" s="36" t="n"/>
      <c r="I14" s="44" t="n"/>
      <c r="J14" s="36" t="n">
        <v>30</v>
      </c>
      <c r="K14" s="36" t="n">
        <v>30</v>
      </c>
      <c r="L14" s="44" t="n">
        <v>0</v>
      </c>
      <c r="M14" s="36" t="inlineStr">
        <is>
          <t>电汇</t>
        </is>
      </c>
      <c r="N14" s="36" t="n"/>
      <c r="O14" s="61" t="n"/>
      <c r="P14" s="61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61">
        <f>SUM(Z14:AH14)</f>
        <v/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0</v>
      </c>
      <c r="AJ14" s="61" t="n">
        <v>0</v>
      </c>
      <c r="AK14" s="61" t="n">
        <v>0</v>
      </c>
      <c r="AL14" s="61" t="n">
        <v>0</v>
      </c>
      <c r="AM14" s="61" t="n"/>
      <c r="AN14" s="61" t="n">
        <v>0</v>
      </c>
      <c r="AO14" s="61" t="n">
        <v>0</v>
      </c>
      <c r="AP14" s="61" t="n">
        <v>0</v>
      </c>
      <c r="AQ14" s="61" t="n">
        <v>0</v>
      </c>
      <c r="AR14" s="61" t="n">
        <v>0</v>
      </c>
      <c r="AS14" s="61" t="n">
        <v>10225</v>
      </c>
      <c r="AT14" s="61" t="n">
        <v>12265</v>
      </c>
      <c r="AU14" s="61" t="n">
        <v>16370</v>
      </c>
      <c r="AV14" s="61" t="n">
        <v>6825</v>
      </c>
      <c r="AW14" s="61" t="n">
        <v>24530</v>
      </c>
      <c r="AX14" s="61" t="n">
        <v>13650</v>
      </c>
      <c r="AY14" s="61" t="n">
        <v>0</v>
      </c>
      <c r="AZ14" s="61" t="n">
        <v>10225</v>
      </c>
      <c r="BA14" s="61" t="inlineStr">
        <is>
          <t>否</t>
        </is>
      </c>
      <c r="BB14" s="61" t="n">
        <v>0</v>
      </c>
      <c r="BC14" s="61" t="n">
        <v>17050</v>
      </c>
      <c r="BD14" s="61" t="n">
        <v>0</v>
      </c>
      <c r="BE14" s="36" t="inlineStr">
        <is>
          <t>曹星</t>
        </is>
      </c>
      <c r="BF14" s="61" t="n">
        <v>0</v>
      </c>
      <c r="BG14" s="61" t="n">
        <v>0</v>
      </c>
      <c r="BH14" s="61" t="n">
        <v>0</v>
      </c>
      <c r="BI14" s="61" t="n">
        <v>0</v>
      </c>
      <c r="BJ14" s="61" t="n">
        <v>0</v>
      </c>
      <c r="BK14" s="61" t="n">
        <v>0</v>
      </c>
      <c r="BL14" s="61" t="n">
        <v>0</v>
      </c>
      <c r="BM14" s="36" t="n">
        <v>0</v>
      </c>
      <c r="BN14" s="36" t="n">
        <v>0</v>
      </c>
      <c r="BO14" s="36" t="n">
        <v>17050</v>
      </c>
      <c r="BP14" s="36" t="n">
        <v>0</v>
      </c>
      <c r="BQ14" s="36" t="n">
        <v>0</v>
      </c>
      <c r="BR14" s="36" t="n">
        <v>0</v>
      </c>
    </row>
    <row r="15" customFormat="1" s="5">
      <c r="A15" s="34" t="inlineStr">
        <is>
          <t>广州集泰化工股份有限公司</t>
        </is>
      </c>
      <c r="B15" s="35" t="inlineStr">
        <is>
          <t>G130901053</t>
        </is>
      </c>
      <c r="C15" s="36" t="inlineStr">
        <is>
          <t>广州雨廷化工科技有限公司</t>
        </is>
      </c>
      <c r="D15" s="43" t="inlineStr">
        <is>
          <t>浦发信用证</t>
        </is>
      </c>
      <c r="E15" s="36" t="n">
        <v>1</v>
      </c>
      <c r="F15" s="37" t="n">
        <v>46172</v>
      </c>
      <c r="G15" s="36" t="inlineStr">
        <is>
          <t>彭时莎</t>
        </is>
      </c>
      <c r="H15" s="36" t="n"/>
      <c r="I15" s="36" t="inlineStr">
        <is>
          <t>增塑剂</t>
        </is>
      </c>
      <c r="J15" s="36" t="n">
        <v>180</v>
      </c>
      <c r="K15" s="36" t="n">
        <v>180</v>
      </c>
      <c r="L15" s="44" t="n">
        <v>0</v>
      </c>
      <c r="M15" s="43" t="inlineStr">
        <is>
          <t>银承/电汇/商承/浦发银行信用证</t>
        </is>
      </c>
      <c r="N15" s="36" t="n"/>
      <c r="O15" s="61" t="n">
        <v>695180.781</v>
      </c>
      <c r="P15" s="61" t="n"/>
      <c r="Q15" s="36" t="n"/>
      <c r="R15" s="36" t="n"/>
      <c r="S15" s="36" t="n"/>
      <c r="T15" s="36" t="n"/>
      <c r="U15" s="36" t="n">
        <v>695180.781</v>
      </c>
      <c r="V15" s="36" t="n"/>
      <c r="W15" s="36" t="n"/>
      <c r="X15" s="36" t="n"/>
      <c r="Y15" s="61">
        <f>SUM(Z15:AH15)</f>
        <v/>
      </c>
      <c r="Z15" s="61" t="n">
        <v>0</v>
      </c>
      <c r="AA15" s="61" t="n">
        <v>526070.4</v>
      </c>
      <c r="AB15" s="61" t="n">
        <v>292282</v>
      </c>
      <c r="AC15" s="61" t="n">
        <v>129689.2</v>
      </c>
      <c r="AD15" s="61" t="n">
        <v>269664</v>
      </c>
      <c r="AE15" s="70" t="n">
        <v>280034.4</v>
      </c>
      <c r="AF15" s="66" t="n">
        <v>419837</v>
      </c>
      <c r="AG15" s="66" t="n">
        <v>72551.6899999999</v>
      </c>
      <c r="AH15" s="61" t="n">
        <v>0</v>
      </c>
      <c r="AI15" s="61" t="n">
        <v>0</v>
      </c>
      <c r="AJ15" s="61" t="n">
        <v>0</v>
      </c>
      <c r="AK15" s="61" t="n">
        <v>0</v>
      </c>
      <c r="AL15" s="61" t="n">
        <v>0</v>
      </c>
      <c r="AM15" s="61" t="n"/>
      <c r="AN15" s="61" t="n">
        <v>0</v>
      </c>
      <c r="AO15" s="61" t="n">
        <v>526070.4</v>
      </c>
      <c r="AP15" s="61" t="n">
        <v>292282</v>
      </c>
      <c r="AQ15" s="61" t="n">
        <v>129689.2</v>
      </c>
      <c r="AR15" s="61" t="n">
        <v>269664</v>
      </c>
      <c r="AS15" s="61" t="n">
        <v>280034.4</v>
      </c>
      <c r="AT15" s="61" t="n">
        <v>419837</v>
      </c>
      <c r="AU15" s="61" t="n">
        <v>283183.2</v>
      </c>
      <c r="AV15" s="61" t="n">
        <v>595783.4</v>
      </c>
      <c r="AW15" s="61" t="n">
        <v>287224</v>
      </c>
      <c r="AX15" s="61" t="n">
        <v>142454.6</v>
      </c>
      <c r="AY15" s="61" t="n">
        <v>616640</v>
      </c>
      <c r="AZ15" s="61" t="n">
        <v>307963.5</v>
      </c>
      <c r="BA15" s="61" t="inlineStr">
        <is>
          <t>否</t>
        </is>
      </c>
      <c r="BB15" s="61" t="n">
        <v>200000</v>
      </c>
      <c r="BC15" s="61" t="n">
        <v>1000294.89</v>
      </c>
      <c r="BD15" s="61" t="n">
        <v>0</v>
      </c>
      <c r="BE15" s="36" t="inlineStr">
        <is>
          <t>曹星</t>
        </is>
      </c>
      <c r="BF15" s="61" t="n">
        <v>0</v>
      </c>
      <c r="BG15" s="61" t="n">
        <v>526070.4</v>
      </c>
      <c r="BH15" s="61" t="n">
        <v>292282</v>
      </c>
      <c r="BI15" s="61" t="n">
        <v>129689.2</v>
      </c>
      <c r="BJ15" s="61" t="n">
        <v>269664</v>
      </c>
      <c r="BK15" s="61" t="n">
        <v>280034.4</v>
      </c>
      <c r="BL15" s="61" t="n">
        <v>492388.69</v>
      </c>
      <c r="BM15" s="36" t="n">
        <v>0</v>
      </c>
      <c r="BN15" s="36" t="n">
        <v>526070.4</v>
      </c>
      <c r="BO15" s="36" t="n">
        <v>1000294.89</v>
      </c>
      <c r="BP15" s="36" t="n">
        <v>200000</v>
      </c>
      <c r="BQ15" s="36" t="n">
        <v>1990128.69</v>
      </c>
      <c r="BR15" s="36" t="n">
        <v>0</v>
      </c>
    </row>
    <row r="16" customFormat="1" s="5">
      <c r="A16" s="34" t="inlineStr">
        <is>
          <t>广州集泰化工股份有限公司</t>
        </is>
      </c>
      <c r="B16" s="35" t="inlineStr">
        <is>
          <t>G130902010</t>
        </is>
      </c>
      <c r="C16" s="36" t="inlineStr">
        <is>
          <t>湖北新蓝天新材料股份有限公司</t>
        </is>
      </c>
      <c r="D16" s="36" t="n"/>
      <c r="E16" s="36" t="n">
        <v>1</v>
      </c>
      <c r="F16" s="37" t="n">
        <v>46172</v>
      </c>
      <c r="G16" s="36" t="inlineStr">
        <is>
          <t>彭时莎</t>
        </is>
      </c>
      <c r="H16" s="36" t="n"/>
      <c r="I16" s="36" t="inlineStr">
        <is>
          <t>交联剂</t>
        </is>
      </c>
      <c r="J16" s="36" t="n">
        <v>30</v>
      </c>
      <c r="K16" s="36" t="n">
        <v>60</v>
      </c>
      <c r="L16" s="44" t="n">
        <v>0</v>
      </c>
      <c r="M16" s="36" t="inlineStr">
        <is>
          <t>银承/电汇</t>
        </is>
      </c>
      <c r="N16" s="36" t="n"/>
      <c r="O16" s="61" t="n">
        <v>1413121.5</v>
      </c>
      <c r="P16" s="61" t="n"/>
      <c r="Q16" s="36" t="n"/>
      <c r="R16" s="36" t="n">
        <v>1413121.5</v>
      </c>
      <c r="S16" s="36" t="n"/>
      <c r="T16" s="36" t="n"/>
      <c r="U16" s="36" t="n"/>
      <c r="V16" s="36" t="n"/>
      <c r="W16" s="36" t="n"/>
      <c r="X16" s="36" t="n"/>
      <c r="Y16" s="61">
        <f>SUM(Z16:AH16)</f>
        <v/>
      </c>
      <c r="Z16" s="61" t="n">
        <v>757050</v>
      </c>
      <c r="AA16" s="71" t="n">
        <v>389000</v>
      </c>
      <c r="AB16" s="66" t="n">
        <v>900000</v>
      </c>
      <c r="AC16" s="66" t="n">
        <v>281135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0</v>
      </c>
      <c r="AM16" s="61" t="n"/>
      <c r="AN16" s="61" t="n">
        <v>757050</v>
      </c>
      <c r="AO16" s="61" t="n">
        <v>389000</v>
      </c>
      <c r="AP16" s="61" t="n">
        <v>900000</v>
      </c>
      <c r="AQ16" s="61" t="n">
        <v>485000</v>
      </c>
      <c r="AR16" s="61" t="n">
        <v>0</v>
      </c>
      <c r="AS16" s="61" t="n">
        <v>1389140</v>
      </c>
      <c r="AT16" s="61" t="n">
        <v>489000</v>
      </c>
      <c r="AU16" s="61" t="n">
        <v>450000</v>
      </c>
      <c r="AV16" s="61" t="n">
        <v>447050</v>
      </c>
      <c r="AW16" s="61" t="n">
        <v>228250</v>
      </c>
      <c r="AX16" s="61" t="n">
        <v>426275</v>
      </c>
      <c r="AY16" s="61" t="n">
        <v>49500</v>
      </c>
      <c r="AZ16" s="61" t="n">
        <v>467500</v>
      </c>
      <c r="BA16" s="61" t="inlineStr">
        <is>
          <t>否</t>
        </is>
      </c>
      <c r="BB16" s="61" t="n">
        <v>873080</v>
      </c>
      <c r="BC16" s="61" t="n">
        <v>2073080</v>
      </c>
      <c r="BD16" s="61" t="n">
        <v>316</v>
      </c>
      <c r="BE16" s="36" t="inlineStr">
        <is>
          <t>曹星</t>
        </is>
      </c>
      <c r="BF16" s="61" t="n">
        <v>757050</v>
      </c>
      <c r="BG16" s="61" t="n">
        <v>389000</v>
      </c>
      <c r="BH16" s="61" t="n">
        <v>900000</v>
      </c>
      <c r="BI16" s="61" t="n">
        <v>281135</v>
      </c>
      <c r="BJ16" s="61" t="n">
        <v>0</v>
      </c>
      <c r="BK16" s="61" t="n">
        <v>0</v>
      </c>
      <c r="BL16" s="61" t="n">
        <v>0</v>
      </c>
      <c r="BM16" s="36" t="n">
        <v>757050</v>
      </c>
      <c r="BN16" s="36" t="n">
        <v>389000</v>
      </c>
      <c r="BO16" s="36" t="n">
        <v>2073080</v>
      </c>
      <c r="BP16" s="36" t="n">
        <v>873080</v>
      </c>
      <c r="BQ16" s="36" t="n">
        <v>2327185</v>
      </c>
      <c r="BR16" s="36" t="n">
        <v>316</v>
      </c>
    </row>
    <row r="17" customFormat="1" s="5">
      <c r="A17" s="34" t="inlineStr">
        <is>
          <t>广州集泰化工股份有限公司</t>
        </is>
      </c>
      <c r="B17" s="35" t="inlineStr">
        <is>
          <t>G130902024</t>
        </is>
      </c>
      <c r="C17" s="36" t="inlineStr">
        <is>
          <t>瓦克化学(中国)有限公司</t>
        </is>
      </c>
      <c r="D17" s="36" t="n"/>
      <c r="E17" s="36" t="n">
        <v>0</v>
      </c>
      <c r="F17" s="37" t="n">
        <v>46172</v>
      </c>
      <c r="G17" s="36" t="inlineStr">
        <is>
          <t>彭时莎</t>
        </is>
      </c>
      <c r="H17" s="36" t="n"/>
      <c r="I17" s="36" t="inlineStr">
        <is>
          <t>外购透明胶</t>
        </is>
      </c>
      <c r="J17" s="36" t="n">
        <v>30</v>
      </c>
      <c r="K17" s="36" t="n">
        <v>30</v>
      </c>
      <c r="L17" s="44" t="n">
        <v>0</v>
      </c>
      <c r="M17" s="36" t="inlineStr">
        <is>
          <t>电汇</t>
        </is>
      </c>
      <c r="N17" s="36" t="n"/>
      <c r="O17" s="61" t="n">
        <v>138400.01</v>
      </c>
      <c r="P17" s="61" t="n"/>
      <c r="Q17" s="36" t="n"/>
      <c r="R17" s="36" t="n"/>
      <c r="S17" s="36" t="n">
        <v>138400.01</v>
      </c>
      <c r="T17" s="36" t="n"/>
      <c r="U17" s="36" t="n"/>
      <c r="V17" s="36" t="n"/>
      <c r="W17" s="36" t="n"/>
      <c r="X17" s="36" t="n"/>
      <c r="Y17" s="61">
        <f>SUM(Z17:AH17)</f>
        <v/>
      </c>
      <c r="Z17" s="66" t="n">
        <v>116000.01</v>
      </c>
      <c r="AA17" s="66" t="n">
        <v>22400</v>
      </c>
      <c r="AB17" s="61" t="n">
        <v>0</v>
      </c>
      <c r="AC17" s="61" t="n">
        <v>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0</v>
      </c>
      <c r="AJ17" s="61" t="n">
        <v>0</v>
      </c>
      <c r="AK17" s="61" t="n">
        <v>0</v>
      </c>
      <c r="AL17" s="61" t="n">
        <v>0</v>
      </c>
      <c r="AM17" s="61" t="n"/>
      <c r="AN17" s="61" t="n">
        <v>116000.01</v>
      </c>
      <c r="AO17" s="61" t="n">
        <v>92304.00999999999</v>
      </c>
      <c r="AP17" s="61" t="n">
        <v>52640</v>
      </c>
      <c r="AQ17" s="61" t="n">
        <v>66079.98</v>
      </c>
      <c r="AR17" s="61" t="n">
        <v>74880</v>
      </c>
      <c r="AS17" s="61" t="n">
        <v>0</v>
      </c>
      <c r="AT17" s="61" t="n">
        <v>118239.99</v>
      </c>
      <c r="AU17" s="61" t="n">
        <v>22400</v>
      </c>
      <c r="AV17" s="61" t="n">
        <v>14559.99</v>
      </c>
      <c r="AW17" s="61" t="n">
        <v>182879.98</v>
      </c>
      <c r="AX17" s="61" t="n">
        <v>37600</v>
      </c>
      <c r="AY17" s="61" t="n">
        <v>56400</v>
      </c>
      <c r="AZ17" s="61" t="n">
        <v>325760.02</v>
      </c>
      <c r="BA17" s="61" t="inlineStr">
        <is>
          <t>107客商</t>
        </is>
      </c>
      <c r="BB17" s="61" t="n">
        <v>69104</v>
      </c>
      <c r="BC17" s="61" t="n">
        <v>261743.98</v>
      </c>
      <c r="BD17" s="61" t="n">
        <v>0</v>
      </c>
      <c r="BE17" s="36" t="inlineStr">
        <is>
          <t>曹星</t>
        </is>
      </c>
      <c r="BF17" s="61" t="n">
        <v>116000.01</v>
      </c>
      <c r="BG17" s="61" t="n">
        <v>22400</v>
      </c>
      <c r="BH17" s="61" t="n">
        <v>0</v>
      </c>
      <c r="BI17" s="61" t="n">
        <v>0</v>
      </c>
      <c r="BJ17" s="61" t="n">
        <v>0</v>
      </c>
      <c r="BK17" s="61" t="n">
        <v>0</v>
      </c>
      <c r="BL17" s="61" t="n">
        <v>0</v>
      </c>
      <c r="BM17" s="36" t="n">
        <v>116000.01</v>
      </c>
      <c r="BN17" s="36" t="n">
        <v>92304.00999999999</v>
      </c>
      <c r="BO17" s="36" t="n">
        <v>261743.98</v>
      </c>
      <c r="BP17" s="36" t="n">
        <v>69104</v>
      </c>
      <c r="BQ17" s="36" t="n">
        <v>138400.01</v>
      </c>
      <c r="BR17" s="36" t="n">
        <v>0</v>
      </c>
    </row>
    <row r="18" customFormat="1" s="5">
      <c r="A18" s="34" t="inlineStr">
        <is>
          <t>广州集泰化工股份有限公司</t>
        </is>
      </c>
      <c r="B18" s="35" t="inlineStr">
        <is>
          <t>G130902051</t>
        </is>
      </c>
      <c r="C18" s="36" t="inlineStr">
        <is>
          <t>广西华纳新材料股份有限公司</t>
        </is>
      </c>
      <c r="D18" s="36" t="n"/>
      <c r="E18" s="36" t="n">
        <v>1</v>
      </c>
      <c r="F18" s="37" t="n">
        <v>46172</v>
      </c>
      <c r="G18" s="36" t="inlineStr">
        <is>
          <t>彭时莎</t>
        </is>
      </c>
      <c r="H18" s="36" t="n"/>
      <c r="I18" s="36" t="inlineStr">
        <is>
          <t>钙粉</t>
        </is>
      </c>
      <c r="J18" s="36" t="n">
        <v>120</v>
      </c>
      <c r="K18" s="36" t="n">
        <v>120</v>
      </c>
      <c r="L18" s="36" t="n">
        <v>10000000</v>
      </c>
      <c r="M18" s="36" t="inlineStr">
        <is>
          <t>银承/电汇</t>
        </is>
      </c>
      <c r="N18" s="36" t="n"/>
      <c r="O18" s="61" t="n">
        <v>6682787.64</v>
      </c>
      <c r="P18" s="61" t="n"/>
      <c r="Q18" s="36" t="n"/>
      <c r="R18" s="36" t="n"/>
      <c r="S18" s="36" t="n">
        <v>6682787.64</v>
      </c>
      <c r="T18" s="36" t="n"/>
      <c r="U18" s="36" t="n"/>
      <c r="V18" s="36" t="n"/>
      <c r="W18" s="36" t="n"/>
      <c r="X18" s="36" t="n"/>
      <c r="Y18" s="61">
        <f>SUM(Z18:AH18)</f>
        <v/>
      </c>
      <c r="Z18" s="61" t="n">
        <v>3169850</v>
      </c>
      <c r="AA18" s="61" t="n">
        <v>1781875</v>
      </c>
      <c r="AB18" s="61" t="n">
        <v>531750</v>
      </c>
      <c r="AC18" s="72" t="n">
        <v>2544605</v>
      </c>
      <c r="AD18" s="66" t="n">
        <v>2401250</v>
      </c>
      <c r="AE18" s="66" t="n">
        <v>1900700</v>
      </c>
      <c r="AF18" s="66" t="n">
        <v>578764.6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/>
      <c r="AN18" s="61" t="n">
        <v>3169850</v>
      </c>
      <c r="AO18" s="61" t="n">
        <v>1781875</v>
      </c>
      <c r="AP18" s="61" t="n">
        <v>531750</v>
      </c>
      <c r="AQ18" s="61" t="n">
        <v>2544605</v>
      </c>
      <c r="AR18" s="61" t="n">
        <v>2401250</v>
      </c>
      <c r="AS18" s="61" t="n">
        <v>1900700</v>
      </c>
      <c r="AT18" s="61" t="n">
        <v>2486300</v>
      </c>
      <c r="AU18" s="61" t="n">
        <v>1439750</v>
      </c>
      <c r="AV18" s="61" t="n">
        <v>1838900</v>
      </c>
      <c r="AW18" s="61" t="n">
        <v>1729245</v>
      </c>
      <c r="AX18" s="61" t="n">
        <v>2160625</v>
      </c>
      <c r="AY18" s="61" t="n">
        <v>1911375</v>
      </c>
      <c r="AZ18" s="61" t="n">
        <v>2127200</v>
      </c>
      <c r="BA18" s="61" t="inlineStr">
        <is>
          <t>否</t>
        </is>
      </c>
      <c r="BB18" s="61" t="n">
        <v>1900000</v>
      </c>
      <c r="BC18" s="61" t="n">
        <v>8570000</v>
      </c>
      <c r="BD18" s="61" t="n">
        <v>233000</v>
      </c>
      <c r="BE18" s="36" t="inlineStr">
        <is>
          <t>曹星</t>
        </is>
      </c>
      <c r="BF18" s="61" t="n">
        <v>3169850</v>
      </c>
      <c r="BG18" s="61" t="n">
        <v>1781875</v>
      </c>
      <c r="BH18" s="61" t="n">
        <v>531750</v>
      </c>
      <c r="BI18" s="61" t="n">
        <v>2544605</v>
      </c>
      <c r="BJ18" s="61" t="n">
        <v>2401250</v>
      </c>
      <c r="BK18" s="61" t="n">
        <v>1900700</v>
      </c>
      <c r="BL18" s="61" t="n">
        <v>578764.6</v>
      </c>
      <c r="BM18" s="36" t="n">
        <v>3169850</v>
      </c>
      <c r="BN18" s="36" t="n">
        <v>1781875</v>
      </c>
      <c r="BO18" s="36" t="n">
        <v>8570000</v>
      </c>
      <c r="BP18" s="36" t="n">
        <v>1900000</v>
      </c>
      <c r="BQ18" s="36" t="n">
        <v>12908794.6</v>
      </c>
      <c r="BR18" s="36" t="n">
        <v>233000</v>
      </c>
    </row>
    <row r="19" customFormat="1" s="5">
      <c r="A19" s="34" t="inlineStr">
        <is>
          <t>广州集泰化工股份有限公司</t>
        </is>
      </c>
      <c r="B19" s="35" t="inlineStr">
        <is>
          <t>G130902061</t>
        </is>
      </c>
      <c r="C19" s="36" t="inlineStr">
        <is>
          <t>广州亿满晟化工股份有限公司</t>
        </is>
      </c>
      <c r="D19" s="36" t="n"/>
      <c r="E19" s="36" t="n">
        <v>2</v>
      </c>
      <c r="F19" s="37" t="n">
        <v>46172</v>
      </c>
      <c r="G19" s="36" t="inlineStr">
        <is>
          <t>彭时莎</t>
        </is>
      </c>
      <c r="H19" s="36" t="n"/>
      <c r="I19" s="36" t="inlineStr">
        <is>
          <t>色粉</t>
        </is>
      </c>
      <c r="J19" s="36" t="n">
        <v>120</v>
      </c>
      <c r="K19" s="36" t="n">
        <v>120</v>
      </c>
      <c r="L19" s="44" t="n">
        <v>0</v>
      </c>
      <c r="M19" s="36" t="inlineStr">
        <is>
          <t>银承/电汇</t>
        </is>
      </c>
      <c r="N19" s="36" t="n"/>
      <c r="O19" s="61" t="n">
        <v>364804.74</v>
      </c>
      <c r="P19" s="61" t="n"/>
      <c r="Q19" s="36" t="n"/>
      <c r="R19" s="36" t="n"/>
      <c r="S19" s="36" t="n">
        <v>364804.74</v>
      </c>
      <c r="T19" s="36" t="n"/>
      <c r="U19" s="36" t="n"/>
      <c r="V19" s="36" t="n"/>
      <c r="W19" s="36" t="n"/>
      <c r="X19" s="36" t="n"/>
      <c r="Y19" s="61">
        <f>SUM(Z19:AH19)</f>
        <v/>
      </c>
      <c r="Z19" s="61" t="n">
        <v>127500</v>
      </c>
      <c r="AA19" s="61" t="n">
        <v>0</v>
      </c>
      <c r="AB19" s="61" t="n">
        <v>0</v>
      </c>
      <c r="AC19" s="73" t="n">
        <v>153000</v>
      </c>
      <c r="AD19" s="66" t="n">
        <v>102000</v>
      </c>
      <c r="AE19" s="66" t="n">
        <v>150338.6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/>
      <c r="AN19" s="61" t="n">
        <v>127500</v>
      </c>
      <c r="AO19" s="61" t="n">
        <v>0</v>
      </c>
      <c r="AP19" s="61" t="n">
        <v>0</v>
      </c>
      <c r="AQ19" s="61" t="n">
        <v>153000</v>
      </c>
      <c r="AR19" s="61" t="n">
        <v>102000</v>
      </c>
      <c r="AS19" s="61" t="n">
        <v>153000</v>
      </c>
      <c r="AT19" s="61" t="n">
        <v>160800</v>
      </c>
      <c r="AU19" s="61" t="n">
        <v>0</v>
      </c>
      <c r="AV19" s="61" t="n">
        <v>160800</v>
      </c>
      <c r="AW19" s="61" t="n">
        <v>160800</v>
      </c>
      <c r="AX19" s="61" t="n">
        <v>160800</v>
      </c>
      <c r="AY19" s="61" t="n">
        <v>0</v>
      </c>
      <c r="AZ19" s="61" t="n">
        <v>160800</v>
      </c>
      <c r="BA19" s="61" t="inlineStr">
        <is>
          <t>否</t>
        </is>
      </c>
      <c r="BB19" s="61" t="n">
        <v>480000</v>
      </c>
      <c r="BC19" s="61" t="n">
        <v>640000</v>
      </c>
      <c r="BD19" s="61" t="n">
        <v>127500</v>
      </c>
      <c r="BE19" s="36" t="inlineStr">
        <is>
          <t>曹星</t>
        </is>
      </c>
      <c r="BF19" s="61" t="n">
        <v>127500</v>
      </c>
      <c r="BG19" s="61" t="n">
        <v>0</v>
      </c>
      <c r="BH19" s="61" t="n">
        <v>0</v>
      </c>
      <c r="BI19" s="61" t="n">
        <v>153000</v>
      </c>
      <c r="BJ19" s="61" t="n">
        <v>102000</v>
      </c>
      <c r="BK19" s="61" t="n">
        <v>150338.6</v>
      </c>
      <c r="BL19" s="61" t="n">
        <v>0</v>
      </c>
      <c r="BM19" s="36" t="n">
        <v>127500</v>
      </c>
      <c r="BN19" s="36" t="n">
        <v>0</v>
      </c>
      <c r="BO19" s="36" t="n">
        <v>640000</v>
      </c>
      <c r="BP19" s="36" t="n">
        <v>480000</v>
      </c>
      <c r="BQ19" s="36" t="n">
        <v>532838.6</v>
      </c>
      <c r="BR19" s="36" t="n">
        <v>127500</v>
      </c>
    </row>
    <row r="20" customFormat="1" s="5">
      <c r="A20" s="34" t="inlineStr">
        <is>
          <t>广州集泰化工股份有限公司</t>
        </is>
      </c>
      <c r="B20" s="35" t="inlineStr">
        <is>
          <t>G130902067</t>
        </is>
      </c>
      <c r="C20" s="36" t="inlineStr">
        <is>
          <t>江西蓝星星火有机硅有限公司</t>
        </is>
      </c>
      <c r="D20" s="36" t="n"/>
      <c r="E20" s="36" t="n">
        <v>0</v>
      </c>
      <c r="F20" s="37" t="n">
        <v>46167</v>
      </c>
      <c r="G20" s="36" t="inlineStr">
        <is>
          <t>彭时莎</t>
        </is>
      </c>
      <c r="H20" s="36" t="n"/>
      <c r="I20" s="36" t="inlineStr">
        <is>
          <t>107、DMC、硅油</t>
        </is>
      </c>
      <c r="J20" s="36" t="n">
        <v>30</v>
      </c>
      <c r="K20" s="36" t="n">
        <v>30</v>
      </c>
      <c r="L20" s="36" t="n">
        <v>9000000</v>
      </c>
      <c r="M20" s="36" t="inlineStr">
        <is>
          <t>银承/电汇</t>
        </is>
      </c>
      <c r="N20" s="36" t="n"/>
      <c r="O20" s="61" t="n">
        <v>6708422</v>
      </c>
      <c r="P20" s="61" t="n"/>
      <c r="Q20" s="36" t="n"/>
      <c r="R20" s="36" t="n">
        <v>6708422</v>
      </c>
      <c r="S20" s="36" t="n"/>
      <c r="T20" s="36" t="n"/>
      <c r="U20" s="36" t="n"/>
      <c r="V20" s="36" t="n"/>
      <c r="W20" s="36" t="n"/>
      <c r="X20" s="36" t="n"/>
      <c r="Y20" s="61">
        <f>SUM(Z20:AH20)</f>
        <v/>
      </c>
      <c r="Z20" s="66" t="n">
        <v>6708422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/>
      <c r="AN20" s="61" t="n">
        <v>6708422</v>
      </c>
      <c r="AO20" s="61" t="n">
        <v>3227876</v>
      </c>
      <c r="AP20" s="61" t="n">
        <v>3514021</v>
      </c>
      <c r="AQ20" s="61" t="n">
        <v>6922185</v>
      </c>
      <c r="AR20" s="61" t="n">
        <v>4329134</v>
      </c>
      <c r="AS20" s="61" t="n">
        <v>2854369</v>
      </c>
      <c r="AT20" s="61" t="n">
        <v>5399604</v>
      </c>
      <c r="AU20" s="61" t="n">
        <v>7774109</v>
      </c>
      <c r="AV20" s="61" t="n">
        <v>4956397</v>
      </c>
      <c r="AW20" s="61" t="n">
        <v>4999051</v>
      </c>
      <c r="AX20" s="61" t="n">
        <v>7193255</v>
      </c>
      <c r="AY20" s="61" t="n">
        <v>4819581.6</v>
      </c>
      <c r="AZ20" s="61" t="n">
        <v>6786727</v>
      </c>
      <c r="BA20" s="61" t="inlineStr">
        <is>
          <t>107客商</t>
        </is>
      </c>
      <c r="BB20" s="61" t="n">
        <v>3227471.96</v>
      </c>
      <c r="BC20" s="61" t="n">
        <v>13661822</v>
      </c>
      <c r="BD20" s="61" t="n">
        <v>0</v>
      </c>
      <c r="BE20" s="36" t="inlineStr">
        <is>
          <t>曹星</t>
        </is>
      </c>
      <c r="BF20" s="61" t="n">
        <v>6708422</v>
      </c>
      <c r="BG20" s="61" t="n">
        <v>0</v>
      </c>
      <c r="BH20" s="61" t="n">
        <v>0</v>
      </c>
      <c r="BI20" s="61" t="n">
        <v>0</v>
      </c>
      <c r="BJ20" s="61" t="n">
        <v>0</v>
      </c>
      <c r="BK20" s="61" t="n">
        <v>0</v>
      </c>
      <c r="BL20" s="61" t="n">
        <v>0</v>
      </c>
      <c r="BM20" s="36" t="n">
        <v>6708422</v>
      </c>
      <c r="BN20" s="36" t="n">
        <v>3227876</v>
      </c>
      <c r="BO20" s="36" t="n">
        <v>13661822</v>
      </c>
      <c r="BP20" s="36" t="n">
        <v>3227471.96</v>
      </c>
      <c r="BQ20" s="36" t="n">
        <v>6708422</v>
      </c>
      <c r="BR20" s="36" t="n">
        <v>0</v>
      </c>
    </row>
    <row r="21" customFormat="1" s="5">
      <c r="A21" s="34" t="inlineStr">
        <is>
          <t>广州集泰化工股份有限公司</t>
        </is>
      </c>
      <c r="B21" s="35" t="inlineStr">
        <is>
          <t>G130902077</t>
        </is>
      </c>
      <c r="C21" s="36" t="inlineStr">
        <is>
          <t>恩平燕怡新材料有限公司</t>
        </is>
      </c>
      <c r="D21" s="36" t="n"/>
      <c r="E21" s="36" t="n">
        <v>2</v>
      </c>
      <c r="F21" s="37" t="n">
        <v>46172</v>
      </c>
      <c r="G21" s="36" t="inlineStr">
        <is>
          <t>彭时莎</t>
        </is>
      </c>
      <c r="H21" s="36" t="n"/>
      <c r="I21" s="36" t="inlineStr">
        <is>
          <t>钙粉</t>
        </is>
      </c>
      <c r="J21" s="36" t="n">
        <v>90</v>
      </c>
      <c r="K21" s="36" t="n">
        <v>180</v>
      </c>
      <c r="L21" s="44" t="n">
        <v>0</v>
      </c>
      <c r="M21" s="36" t="inlineStr">
        <is>
          <t>银承/电汇/易信</t>
        </is>
      </c>
      <c r="N21" s="36" t="n"/>
      <c r="O21" s="61" t="n">
        <v>1875747.447</v>
      </c>
      <c r="P21" s="61" t="n"/>
      <c r="Q21" s="36" t="n"/>
      <c r="R21" s="36" t="n"/>
      <c r="S21" s="36" t="n">
        <v>1875747.447</v>
      </c>
      <c r="T21" s="36" t="n"/>
      <c r="U21" s="36" t="n"/>
      <c r="V21" s="36" t="n"/>
      <c r="W21" s="36" t="n"/>
      <c r="X21" s="36" t="n"/>
      <c r="Y21" s="61">
        <f>SUM(Z21:AH21)</f>
        <v/>
      </c>
      <c r="Z21" s="61" t="n">
        <v>90600</v>
      </c>
      <c r="AA21" s="61" t="n">
        <v>80100</v>
      </c>
      <c r="AB21" s="61" t="n">
        <v>0</v>
      </c>
      <c r="AC21" s="61" t="n">
        <v>167300</v>
      </c>
      <c r="AD21" s="61" t="n">
        <v>87800</v>
      </c>
      <c r="AE21" s="61" t="n">
        <v>82390</v>
      </c>
      <c r="AF21" s="61" t="n">
        <v>84370</v>
      </c>
      <c r="AG21" s="61" t="n">
        <v>0</v>
      </c>
      <c r="AH21" s="74" t="n">
        <v>161700</v>
      </c>
      <c r="AI21" s="66" t="n">
        <v>323400</v>
      </c>
      <c r="AJ21" s="66" t="n">
        <v>80850</v>
      </c>
      <c r="AK21" s="66" t="n">
        <v>161700</v>
      </c>
      <c r="AL21" s="66" t="n">
        <v>1189753.83</v>
      </c>
      <c r="AM21" s="61" t="n"/>
      <c r="AN21" s="61" t="n">
        <v>90600</v>
      </c>
      <c r="AO21" s="61" t="n">
        <v>80100</v>
      </c>
      <c r="AP21" s="61" t="n">
        <v>0</v>
      </c>
      <c r="AQ21" s="61" t="n">
        <v>167300</v>
      </c>
      <c r="AR21" s="61" t="n">
        <v>87800</v>
      </c>
      <c r="AS21" s="61" t="n">
        <v>82390</v>
      </c>
      <c r="AT21" s="61" t="n">
        <v>84370</v>
      </c>
      <c r="AU21" s="61" t="n">
        <v>0</v>
      </c>
      <c r="AV21" s="61" t="n">
        <v>161700</v>
      </c>
      <c r="AW21" s="61" t="n">
        <v>323400</v>
      </c>
      <c r="AX21" s="61" t="n">
        <v>80850</v>
      </c>
      <c r="AY21" s="61" t="n">
        <v>161700</v>
      </c>
      <c r="AZ21" s="61" t="n">
        <v>161700</v>
      </c>
      <c r="BA21" s="61" t="inlineStr">
        <is>
          <t>否</t>
        </is>
      </c>
      <c r="BB21" s="61" t="n">
        <v>0</v>
      </c>
      <c r="BC21" s="61" t="n">
        <v>337490</v>
      </c>
      <c r="BD21" s="61" t="n">
        <v>80850</v>
      </c>
      <c r="BE21" s="36" t="inlineStr">
        <is>
          <t>曹星</t>
        </is>
      </c>
      <c r="BF21" s="61" t="n">
        <v>90600</v>
      </c>
      <c r="BG21" s="61" t="n">
        <v>80100</v>
      </c>
      <c r="BH21" s="61" t="n">
        <v>0</v>
      </c>
      <c r="BI21" s="61" t="n">
        <v>167300</v>
      </c>
      <c r="BJ21" s="61" t="n">
        <v>87800</v>
      </c>
      <c r="BK21" s="61" t="n">
        <v>82390</v>
      </c>
      <c r="BL21" s="61" t="n">
        <v>2001773.83</v>
      </c>
      <c r="BM21" s="36" t="n">
        <v>90600</v>
      </c>
      <c r="BN21" s="36" t="n">
        <v>80100</v>
      </c>
      <c r="BO21" s="36" t="n">
        <v>337490</v>
      </c>
      <c r="BP21" s="36" t="n">
        <v>0</v>
      </c>
      <c r="BQ21" s="36" t="n">
        <v>2509963.83</v>
      </c>
      <c r="BR21" s="36" t="n">
        <v>80850</v>
      </c>
    </row>
    <row r="22" customFormat="1" s="5">
      <c r="A22" s="34" t="inlineStr">
        <is>
          <t>广州集泰化工股份有限公司</t>
        </is>
      </c>
      <c r="B22" s="35" t="inlineStr">
        <is>
          <t>G130902087</t>
        </is>
      </c>
      <c r="C22" s="36" t="inlineStr">
        <is>
          <t>山西兰花华明纳米材料股份有限公司</t>
        </is>
      </c>
      <c r="D22" s="36" t="n"/>
      <c r="E22" s="36" t="n">
        <v>2</v>
      </c>
      <c r="F22" s="37" t="n">
        <v>46172</v>
      </c>
      <c r="G22" s="36" t="inlineStr">
        <is>
          <t>彭时莎</t>
        </is>
      </c>
      <c r="H22" s="36" t="n"/>
      <c r="I22" s="36" t="inlineStr">
        <is>
          <t>钙粉</t>
        </is>
      </c>
      <c r="J22" s="36" t="n">
        <v>30</v>
      </c>
      <c r="K22" s="36" t="n">
        <v>90</v>
      </c>
      <c r="L22" s="44" t="n">
        <v>0</v>
      </c>
      <c r="M22" s="36" t="inlineStr">
        <is>
          <t>银承/电汇</t>
        </is>
      </c>
      <c r="N22" s="36" t="n"/>
      <c r="O22" s="61" t="n">
        <v>179388</v>
      </c>
      <c r="P22" s="61" t="n"/>
      <c r="Q22" s="36" t="n"/>
      <c r="R22" s="36" t="n"/>
      <c r="S22" s="36" t="n">
        <v>179388</v>
      </c>
      <c r="T22" s="36" t="n"/>
      <c r="U22" s="36" t="n"/>
      <c r="V22" s="36" t="n"/>
      <c r="W22" s="36" t="n"/>
      <c r="X22" s="36" t="n"/>
      <c r="Y22" s="61">
        <f>SUM(Z22:AH22)</f>
        <v/>
      </c>
      <c r="Z22" s="61" t="n">
        <v>0</v>
      </c>
      <c r="AA22" s="61" t="n">
        <v>0</v>
      </c>
      <c r="AB22" s="75" t="n">
        <v>99660</v>
      </c>
      <c r="AC22" s="61" t="n">
        <v>0</v>
      </c>
      <c r="AD22" s="66" t="n">
        <v>99660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0</v>
      </c>
      <c r="AM22" s="61" t="n"/>
      <c r="AN22" s="61" t="n">
        <v>0</v>
      </c>
      <c r="AO22" s="61" t="n">
        <v>0</v>
      </c>
      <c r="AP22" s="61" t="n">
        <v>99660</v>
      </c>
      <c r="AQ22" s="61" t="n">
        <v>0</v>
      </c>
      <c r="AR22" s="61" t="n">
        <v>99660</v>
      </c>
      <c r="AS22" s="61" t="n">
        <v>0</v>
      </c>
      <c r="AT22" s="61" t="n">
        <v>99660</v>
      </c>
      <c r="AU22" s="61" t="n">
        <v>99660</v>
      </c>
      <c r="AV22" s="61" t="n">
        <v>0</v>
      </c>
      <c r="AW22" s="61" t="n">
        <v>199320</v>
      </c>
      <c r="AX22" s="61" t="n">
        <v>0</v>
      </c>
      <c r="AY22" s="61" t="n">
        <v>99660</v>
      </c>
      <c r="AZ22" s="61" t="n">
        <v>0</v>
      </c>
      <c r="BA22" s="61" t="inlineStr">
        <is>
          <t>否</t>
        </is>
      </c>
      <c r="BB22" s="61" t="n">
        <v>98300</v>
      </c>
      <c r="BC22" s="61" t="n">
        <v>398300</v>
      </c>
      <c r="BD22" s="61" t="n">
        <v>0</v>
      </c>
      <c r="BE22" s="36" t="inlineStr">
        <is>
          <t>曹星</t>
        </is>
      </c>
      <c r="BF22" s="61" t="n">
        <v>0</v>
      </c>
      <c r="BG22" s="61" t="n">
        <v>0</v>
      </c>
      <c r="BH22" s="61" t="n">
        <v>99660</v>
      </c>
      <c r="BI22" s="61" t="n">
        <v>0</v>
      </c>
      <c r="BJ22" s="61" t="n">
        <v>99660</v>
      </c>
      <c r="BK22" s="61" t="n">
        <v>0</v>
      </c>
      <c r="BL22" s="61" t="n">
        <v>0</v>
      </c>
      <c r="BM22" s="36" t="n">
        <v>0</v>
      </c>
      <c r="BN22" s="36" t="n">
        <v>0</v>
      </c>
      <c r="BO22" s="36" t="n">
        <v>398300</v>
      </c>
      <c r="BP22" s="36" t="n">
        <v>98300</v>
      </c>
      <c r="BQ22" s="36" t="n">
        <v>199320</v>
      </c>
      <c r="BR22" s="36" t="n">
        <v>0</v>
      </c>
    </row>
    <row r="23" customFormat="1" s="5">
      <c r="A23" s="34" t="inlineStr">
        <is>
          <t>广州集泰化工股份有限公司</t>
        </is>
      </c>
      <c r="B23" s="35" t="inlineStr">
        <is>
          <t>G130902099</t>
        </is>
      </c>
      <c r="C23" s="36" t="inlineStr">
        <is>
          <t>荆门市东宝区凯龙矿业股份有限公司</t>
        </is>
      </c>
      <c r="D23" s="36" t="n"/>
      <c r="E23" s="36" t="n">
        <v>1</v>
      </c>
      <c r="F23" s="37" t="n">
        <v>46172</v>
      </c>
      <c r="G23" s="36" t="inlineStr">
        <is>
          <t>彭时莎</t>
        </is>
      </c>
      <c r="H23" s="36" t="n"/>
      <c r="I23" s="36" t="inlineStr">
        <is>
          <t>钙粉</t>
        </is>
      </c>
      <c r="J23" s="36" t="n">
        <v>120</v>
      </c>
      <c r="K23" s="36" t="n">
        <v>150</v>
      </c>
      <c r="L23" s="44" t="n">
        <v>0</v>
      </c>
      <c r="M23" s="36" t="inlineStr">
        <is>
          <t>银承/电汇</t>
        </is>
      </c>
      <c r="N23" s="36" t="n"/>
      <c r="O23" s="61" t="n">
        <v>1310029.965</v>
      </c>
      <c r="P23" s="61" t="n"/>
      <c r="Q23" s="36" t="n"/>
      <c r="R23" s="36" t="n"/>
      <c r="S23" s="36" t="n">
        <v>1310029.965</v>
      </c>
      <c r="T23" s="36" t="n"/>
      <c r="U23" s="36" t="n"/>
      <c r="V23" s="36" t="n"/>
      <c r="W23" s="36" t="n"/>
      <c r="X23" s="36" t="n"/>
      <c r="Y23" s="61">
        <f>SUM(Z23:AH23)</f>
        <v/>
      </c>
      <c r="Z23" s="61" t="n">
        <v>0</v>
      </c>
      <c r="AA23" s="61" t="n">
        <v>83980</v>
      </c>
      <c r="AB23" s="61" t="n">
        <v>83980</v>
      </c>
      <c r="AC23" s="61" t="n">
        <v>170000</v>
      </c>
      <c r="AD23" s="76" t="n">
        <v>425000</v>
      </c>
      <c r="AE23" s="66" t="n">
        <v>677500</v>
      </c>
      <c r="AF23" s="66" t="n">
        <v>353088.85</v>
      </c>
      <c r="AG23" s="61" t="n">
        <v>0</v>
      </c>
      <c r="AH23" s="61" t="n">
        <v>0</v>
      </c>
      <c r="AI23" s="61" t="n">
        <v>0</v>
      </c>
      <c r="AJ23" s="61" t="n">
        <v>0</v>
      </c>
      <c r="AK23" s="61" t="n">
        <v>0</v>
      </c>
      <c r="AL23" s="61" t="n">
        <v>0</v>
      </c>
      <c r="AM23" s="61" t="n"/>
      <c r="AN23" s="61" t="n">
        <v>0</v>
      </c>
      <c r="AO23" s="61" t="n">
        <v>83980</v>
      </c>
      <c r="AP23" s="61" t="n">
        <v>83980</v>
      </c>
      <c r="AQ23" s="61" t="n">
        <v>170000</v>
      </c>
      <c r="AR23" s="61" t="n">
        <v>425000</v>
      </c>
      <c r="AS23" s="61" t="n">
        <v>677500</v>
      </c>
      <c r="AT23" s="61" t="n">
        <v>760000</v>
      </c>
      <c r="AU23" s="61" t="n">
        <v>917500</v>
      </c>
      <c r="AV23" s="61" t="n">
        <v>675000</v>
      </c>
      <c r="AW23" s="61" t="n">
        <v>1285000</v>
      </c>
      <c r="AX23" s="61" t="n">
        <v>1550000</v>
      </c>
      <c r="AY23" s="61" t="n">
        <v>612500</v>
      </c>
      <c r="AZ23" s="61" t="n">
        <v>514420</v>
      </c>
      <c r="BA23" s="61" t="inlineStr">
        <is>
          <t>否</t>
        </is>
      </c>
      <c r="BB23" s="61" t="n">
        <v>400000</v>
      </c>
      <c r="BC23" s="61" t="n">
        <v>1320000</v>
      </c>
      <c r="BD23" s="61" t="n">
        <v>0</v>
      </c>
      <c r="BE23" s="36" t="inlineStr">
        <is>
          <t>曹星</t>
        </is>
      </c>
      <c r="BF23" s="61" t="n">
        <v>0</v>
      </c>
      <c r="BG23" s="61" t="n">
        <v>83980</v>
      </c>
      <c r="BH23" s="61" t="n">
        <v>83980</v>
      </c>
      <c r="BI23" s="61" t="n">
        <v>170000</v>
      </c>
      <c r="BJ23" s="61" t="n">
        <v>425000</v>
      </c>
      <c r="BK23" s="61" t="n">
        <v>677500</v>
      </c>
      <c r="BL23" s="61" t="n">
        <v>353088.85</v>
      </c>
      <c r="BM23" s="36" t="n">
        <v>0</v>
      </c>
      <c r="BN23" s="36" t="n">
        <v>83980</v>
      </c>
      <c r="BO23" s="36" t="n">
        <v>1320000</v>
      </c>
      <c r="BP23" s="36" t="n">
        <v>400000</v>
      </c>
      <c r="BQ23" s="36" t="n">
        <v>1793548.85</v>
      </c>
      <c r="BR23" s="36" t="n">
        <v>0</v>
      </c>
    </row>
    <row r="24" customFormat="1" s="5">
      <c r="A24" s="34" t="inlineStr">
        <is>
          <t>广州集泰化工股份有限公司</t>
        </is>
      </c>
      <c r="B24" s="35" t="inlineStr">
        <is>
          <t>G130902104</t>
        </is>
      </c>
      <c r="C24" s="36" t="inlineStr">
        <is>
          <t>佛山市顺德区杏坛镇力名木器店</t>
        </is>
      </c>
      <c r="D24" s="36" t="n"/>
      <c r="E24" s="36" t="n">
        <v>2</v>
      </c>
      <c r="F24" s="37" t="n">
        <v>46172</v>
      </c>
      <c r="G24" s="36" t="inlineStr">
        <is>
          <t>彭时莎</t>
        </is>
      </c>
      <c r="H24" s="36" t="n"/>
      <c r="I24" s="36" t="inlineStr">
        <is>
          <t>木地板</t>
        </is>
      </c>
      <c r="J24" s="36" t="n">
        <v>180</v>
      </c>
      <c r="K24" s="36" t="n">
        <v>210</v>
      </c>
      <c r="L24" s="44" t="n">
        <v>0</v>
      </c>
      <c r="M24" s="36" t="inlineStr">
        <is>
          <t>商承/银承/电汇</t>
        </is>
      </c>
      <c r="N24" s="36" t="n"/>
      <c r="O24" s="61" t="n">
        <v>365296.437</v>
      </c>
      <c r="P24" s="61" t="n"/>
      <c r="Q24" s="36" t="n"/>
      <c r="R24" s="36" t="n"/>
      <c r="S24" s="36" t="n">
        <v>365296.437</v>
      </c>
      <c r="T24" s="36" t="n"/>
      <c r="U24" s="36" t="n"/>
      <c r="V24" s="36" t="n"/>
      <c r="W24" s="36" t="n"/>
      <c r="X24" s="36" t="n"/>
      <c r="Y24" s="61">
        <f>SUM(Z24:AH24)</f>
        <v/>
      </c>
      <c r="Z24" s="61" t="n">
        <v>104154</v>
      </c>
      <c r="AA24" s="61" t="n">
        <v>145118</v>
      </c>
      <c r="AB24" s="61" t="n">
        <v>17670</v>
      </c>
      <c r="AC24" s="61" t="n">
        <v>141762</v>
      </c>
      <c r="AD24" s="61" t="n">
        <v>133550</v>
      </c>
      <c r="AE24" s="61" t="n">
        <v>176580</v>
      </c>
      <c r="AF24" s="77" t="n">
        <v>123984</v>
      </c>
      <c r="AG24" s="66" t="n">
        <v>146076</v>
      </c>
      <c r="AH24" s="66" t="n">
        <v>135824.93</v>
      </c>
      <c r="AI24" s="61" t="n">
        <v>0</v>
      </c>
      <c r="AJ24" s="61" t="n">
        <v>0</v>
      </c>
      <c r="AK24" s="61" t="n">
        <v>0</v>
      </c>
      <c r="AL24" s="61" t="n">
        <v>0</v>
      </c>
      <c r="AM24" s="61" t="n"/>
      <c r="AN24" s="61" t="n">
        <v>104154</v>
      </c>
      <c r="AO24" s="61" t="n">
        <v>145118</v>
      </c>
      <c r="AP24" s="61" t="n">
        <v>17670</v>
      </c>
      <c r="AQ24" s="61" t="n">
        <v>141762</v>
      </c>
      <c r="AR24" s="61" t="n">
        <v>133550</v>
      </c>
      <c r="AS24" s="61" t="n">
        <v>176580</v>
      </c>
      <c r="AT24" s="61" t="n">
        <v>123984</v>
      </c>
      <c r="AU24" s="61" t="n">
        <v>146076</v>
      </c>
      <c r="AV24" s="61" t="n">
        <v>145337.5</v>
      </c>
      <c r="AW24" s="61" t="n">
        <v>224461</v>
      </c>
      <c r="AX24" s="61" t="n">
        <v>235526.5</v>
      </c>
      <c r="AY24" s="61" t="n">
        <v>203961</v>
      </c>
      <c r="AZ24" s="61" t="n">
        <v>179945</v>
      </c>
      <c r="BA24" s="61" t="inlineStr">
        <is>
          <t>否</t>
        </is>
      </c>
      <c r="BB24" s="61" t="n">
        <v>280000</v>
      </c>
      <c r="BC24" s="61" t="n">
        <v>660000</v>
      </c>
      <c r="BD24" s="61" t="n">
        <v>0</v>
      </c>
      <c r="BE24" s="36" t="inlineStr">
        <is>
          <t>曹星</t>
        </is>
      </c>
      <c r="BF24" s="61" t="n">
        <v>104154</v>
      </c>
      <c r="BG24" s="61" t="n">
        <v>145118</v>
      </c>
      <c r="BH24" s="61" t="n">
        <v>17670</v>
      </c>
      <c r="BI24" s="61" t="n">
        <v>141762</v>
      </c>
      <c r="BJ24" s="61" t="n">
        <v>133550</v>
      </c>
      <c r="BK24" s="61" t="n">
        <v>176580</v>
      </c>
      <c r="BL24" s="61" t="n">
        <v>405884.93</v>
      </c>
      <c r="BM24" s="36" t="n">
        <v>104154</v>
      </c>
      <c r="BN24" s="36" t="n">
        <v>145118</v>
      </c>
      <c r="BO24" s="36" t="n">
        <v>660000</v>
      </c>
      <c r="BP24" s="36" t="n">
        <v>280000</v>
      </c>
      <c r="BQ24" s="36" t="n">
        <v>1124718.93</v>
      </c>
      <c r="BR24" s="36" t="n">
        <v>0</v>
      </c>
    </row>
    <row r="25" customFormat="1" s="5">
      <c r="A25" s="34" t="inlineStr">
        <is>
          <t>广州集泰化工股份有限公司</t>
        </is>
      </c>
      <c r="B25" s="35" t="inlineStr">
        <is>
          <t>G130902106</t>
        </is>
      </c>
      <c r="C25" s="36" t="inlineStr">
        <is>
          <t>山东烁得化学科技股份有限公司</t>
        </is>
      </c>
      <c r="D25" s="36" t="n"/>
      <c r="E25" s="36" t="n">
        <v>1</v>
      </c>
      <c r="F25" s="37" t="n">
        <v>46172</v>
      </c>
      <c r="G25" s="36" t="inlineStr">
        <is>
          <t>彭时莎</t>
        </is>
      </c>
      <c r="H25" s="36" t="n"/>
      <c r="I25" s="36" t="inlineStr">
        <is>
          <t>发泡剂</t>
        </is>
      </c>
      <c r="J25" s="36" t="n">
        <v>60</v>
      </c>
      <c r="K25" s="36" t="n">
        <v>120</v>
      </c>
      <c r="L25" s="36" t="n">
        <v>2000000</v>
      </c>
      <c r="M25" s="36" t="inlineStr">
        <is>
          <t>银承/电汇</t>
        </is>
      </c>
      <c r="N25" s="36" t="n"/>
      <c r="O25" s="61" t="n">
        <v>1260292.347</v>
      </c>
      <c r="P25" s="61" t="n"/>
      <c r="Q25" s="36" t="n"/>
      <c r="R25" s="36" t="n"/>
      <c r="S25" s="36" t="n">
        <v>1260292.347</v>
      </c>
      <c r="T25" s="36" t="n"/>
      <c r="U25" s="36" t="n"/>
      <c r="V25" s="36" t="n"/>
      <c r="W25" s="36" t="n"/>
      <c r="X25" s="36" t="n"/>
      <c r="Y25" s="61" t="n">
        <v>2673193.33</v>
      </c>
      <c r="Z25" s="61" t="n">
        <v>909788.7</v>
      </c>
      <c r="AA25" s="61" t="n">
        <v>0</v>
      </c>
      <c r="AB25" s="61" t="n">
        <v>363079.8</v>
      </c>
      <c r="AC25" s="61" t="n">
        <v>131079</v>
      </c>
      <c r="AD25" s="78" t="n">
        <v>759437.4</v>
      </c>
      <c r="AE25" s="66" t="n">
        <v>509808.43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/>
      <c r="AN25" s="61" t="n">
        <v>909788.7</v>
      </c>
      <c r="AO25" s="61" t="n">
        <v>0</v>
      </c>
      <c r="AP25" s="61" t="n">
        <v>363079.8</v>
      </c>
      <c r="AQ25" s="61" t="n">
        <v>131079</v>
      </c>
      <c r="AR25" s="61" t="n">
        <v>759437.4</v>
      </c>
      <c r="AS25" s="61" t="n">
        <v>643616.1</v>
      </c>
      <c r="AT25" s="61" t="n">
        <v>451200.1</v>
      </c>
      <c r="AU25" s="61" t="n">
        <v>384693.6</v>
      </c>
      <c r="AV25" s="61" t="n">
        <v>521758.5</v>
      </c>
      <c r="AW25" s="61" t="n">
        <v>537976</v>
      </c>
      <c r="AX25" s="61" t="n">
        <v>531147.8</v>
      </c>
      <c r="AY25" s="61" t="n">
        <v>308391.8</v>
      </c>
      <c r="AZ25" s="61" t="n">
        <v>622892</v>
      </c>
      <c r="BA25" s="61" t="inlineStr">
        <is>
          <t>否</t>
        </is>
      </c>
      <c r="BB25" s="61" t="n">
        <v>489092</v>
      </c>
      <c r="BC25" s="61" t="n">
        <v>2010412</v>
      </c>
      <c r="BD25" s="61" t="n">
        <v>593064.98</v>
      </c>
      <c r="BE25" s="36" t="inlineStr">
        <is>
          <t>曹星</t>
        </is>
      </c>
      <c r="BF25" s="61" t="n">
        <v>909788.7</v>
      </c>
      <c r="BG25" s="61" t="n">
        <v>0</v>
      </c>
      <c r="BH25" s="61" t="n">
        <v>363079.8</v>
      </c>
      <c r="BI25" s="61" t="n">
        <v>131079</v>
      </c>
      <c r="BJ25" s="61" t="n">
        <v>759437.4</v>
      </c>
      <c r="BK25" s="61" t="n">
        <v>509808.43</v>
      </c>
      <c r="BL25" s="61" t="n">
        <v>0</v>
      </c>
      <c r="BM25" s="36" t="n">
        <v>909788.7</v>
      </c>
      <c r="BN25" s="36" t="n">
        <v>0</v>
      </c>
      <c r="BO25" s="36" t="n">
        <v>2010412</v>
      </c>
      <c r="BP25" s="36" t="n">
        <v>489092</v>
      </c>
      <c r="BQ25" s="36" t="n">
        <v>2673193.33</v>
      </c>
      <c r="BR25" s="36" t="n">
        <v>593064.98</v>
      </c>
    </row>
    <row r="26" customFormat="1" s="5">
      <c r="A26" s="34" t="inlineStr">
        <is>
          <t>广州集泰化工股份有限公司</t>
        </is>
      </c>
      <c r="B26" s="35" t="inlineStr">
        <is>
          <t>G130902109</t>
        </is>
      </c>
      <c r="C26" s="36" t="inlineStr">
        <is>
          <t>广州锋凌新材料科技有限公司</t>
        </is>
      </c>
      <c r="D26" s="36" t="n"/>
      <c r="E26" s="44" t="n">
        <v>1</v>
      </c>
      <c r="F26" s="37" t="n">
        <v>46172</v>
      </c>
      <c r="G26" s="36" t="inlineStr">
        <is>
          <t>彭时莎</t>
        </is>
      </c>
      <c r="H26" s="36" t="n"/>
      <c r="I26" s="36" t="inlineStr">
        <is>
          <t>外购美缝剂</t>
        </is>
      </c>
      <c r="J26" s="36" t="n">
        <v>30</v>
      </c>
      <c r="K26" s="36" t="n">
        <v>30</v>
      </c>
      <c r="L26" s="44" t="n">
        <v>0</v>
      </c>
      <c r="M26" s="36" t="inlineStr">
        <is>
          <t>银承/电汇</t>
        </is>
      </c>
      <c r="N26" s="36" t="n"/>
      <c r="O26" s="61" t="n">
        <v>26277.75</v>
      </c>
      <c r="P26" s="61" t="n"/>
      <c r="Q26" s="36" t="n"/>
      <c r="R26" s="36" t="n"/>
      <c r="S26" s="36" t="n"/>
      <c r="T26" s="36" t="n"/>
      <c r="U26" s="36" t="n"/>
      <c r="V26" s="36" t="n"/>
      <c r="W26" s="36" t="n">
        <v>26277.75</v>
      </c>
      <c r="X26" s="36" t="n"/>
      <c r="Y26" s="61" t="n">
        <v>29197.5</v>
      </c>
      <c r="Z26" s="61" t="n">
        <v>0</v>
      </c>
      <c r="AA26" s="79" t="n">
        <v>16047.5</v>
      </c>
      <c r="AB26" s="61" t="n">
        <v>0</v>
      </c>
      <c r="AC26" s="61" t="n">
        <v>0</v>
      </c>
      <c r="AD26" s="66" t="n">
        <v>13150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/>
      <c r="AN26" s="61" t="n">
        <v>0</v>
      </c>
      <c r="AO26" s="61" t="n">
        <v>16047.5</v>
      </c>
      <c r="AP26" s="61" t="n">
        <v>0</v>
      </c>
      <c r="AQ26" s="61" t="n">
        <v>0</v>
      </c>
      <c r="AR26" s="61" t="n">
        <v>13150</v>
      </c>
      <c r="AS26" s="61" t="n">
        <v>0</v>
      </c>
      <c r="AT26" s="61" t="n">
        <v>0</v>
      </c>
      <c r="AU26" s="61" t="n">
        <v>0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inlineStr">
        <is>
          <t>否</t>
        </is>
      </c>
      <c r="BB26" s="61" t="n">
        <v>0</v>
      </c>
      <c r="BC26" s="61" t="n">
        <v>0</v>
      </c>
      <c r="BD26" s="61" t="n">
        <v>34492</v>
      </c>
      <c r="BE26" s="36" t="inlineStr">
        <is>
          <t>曹星</t>
        </is>
      </c>
      <c r="BF26" s="61" t="n">
        <v>0</v>
      </c>
      <c r="BG26" s="61" t="n">
        <v>16047.5</v>
      </c>
      <c r="BH26" s="61" t="n">
        <v>0</v>
      </c>
      <c r="BI26" s="61" t="n">
        <v>0</v>
      </c>
      <c r="BJ26" s="61" t="n">
        <v>13150</v>
      </c>
      <c r="BK26" s="61" t="n">
        <v>0</v>
      </c>
      <c r="BL26" s="61" t="n">
        <v>0</v>
      </c>
      <c r="BM26" s="36" t="n">
        <v>0</v>
      </c>
      <c r="BN26" s="36" t="n">
        <v>16047.5</v>
      </c>
      <c r="BO26" s="36" t="n">
        <v>0</v>
      </c>
      <c r="BP26" s="36" t="n">
        <v>0</v>
      </c>
      <c r="BQ26" s="36" t="n">
        <v>29197.5</v>
      </c>
      <c r="BR26" s="36" t="n">
        <v>34492</v>
      </c>
    </row>
    <row r="27" customFormat="1" s="5">
      <c r="A27" s="34" t="inlineStr">
        <is>
          <t>广州集泰化工股份有限公司</t>
        </is>
      </c>
      <c r="B27" s="35" t="inlineStr">
        <is>
          <t>G130902113</t>
        </is>
      </c>
      <c r="C27" s="36" t="inlineStr">
        <is>
          <t>广州市欣友唯化工有限公司</t>
        </is>
      </c>
      <c r="D27" s="36" t="n"/>
      <c r="E27" s="36" t="n">
        <v>1</v>
      </c>
      <c r="F27" s="37" t="n">
        <v>46172</v>
      </c>
      <c r="G27" s="36" t="inlineStr">
        <is>
          <t>彭时莎</t>
        </is>
      </c>
      <c r="H27" s="36" t="n"/>
      <c r="I27" s="36" t="inlineStr">
        <is>
          <t>抗氧剂</t>
        </is>
      </c>
      <c r="J27" s="36" t="n">
        <v>30</v>
      </c>
      <c r="K27" s="36" t="n">
        <v>60</v>
      </c>
      <c r="L27" s="44" t="n">
        <v>0</v>
      </c>
      <c r="M27" s="36" t="inlineStr">
        <is>
          <t>银承/电汇</t>
        </is>
      </c>
      <c r="N27" s="36" t="n"/>
      <c r="O27" s="61" t="n">
        <v>325889.676</v>
      </c>
      <c r="P27" s="61" t="n"/>
      <c r="Q27" s="36" t="n"/>
      <c r="R27" s="36" t="n">
        <v>325889.676</v>
      </c>
      <c r="S27" s="36" t="n"/>
      <c r="T27" s="36" t="n"/>
      <c r="U27" s="36" t="n"/>
      <c r="V27" s="36" t="n"/>
      <c r="W27" s="36" t="n"/>
      <c r="X27" s="36" t="n"/>
      <c r="Y27" s="61" t="n">
        <v>476699.64</v>
      </c>
      <c r="Z27" s="61" t="n">
        <v>114600</v>
      </c>
      <c r="AA27" s="80" t="n">
        <v>81900</v>
      </c>
      <c r="AB27" s="66" t="n">
        <v>83200</v>
      </c>
      <c r="AC27" s="66" t="n">
        <v>98700</v>
      </c>
      <c r="AD27" s="66" t="n">
        <v>98299.64</v>
      </c>
      <c r="AE27" s="61" t="n">
        <v>0</v>
      </c>
      <c r="AF27" s="61" t="n">
        <v>0</v>
      </c>
      <c r="AG27" s="61" t="n">
        <v>0</v>
      </c>
      <c r="AH27" s="61" t="n">
        <v>0</v>
      </c>
      <c r="AI27" s="61" t="n">
        <v>0</v>
      </c>
      <c r="AJ27" s="61" t="n">
        <v>0</v>
      </c>
      <c r="AK27" s="61" t="n">
        <v>0</v>
      </c>
      <c r="AL27" s="61" t="n">
        <v>0</v>
      </c>
      <c r="AM27" s="61" t="n"/>
      <c r="AN27" s="61" t="n">
        <v>114600</v>
      </c>
      <c r="AO27" s="61" t="n">
        <v>81900</v>
      </c>
      <c r="AP27" s="61" t="n">
        <v>83200</v>
      </c>
      <c r="AQ27" s="61" t="n">
        <v>98700</v>
      </c>
      <c r="AR27" s="61" t="n">
        <v>98700</v>
      </c>
      <c r="AS27" s="61" t="n">
        <v>135525</v>
      </c>
      <c r="AT27" s="61" t="n">
        <v>5000</v>
      </c>
      <c r="AU27" s="61" t="n">
        <v>182400</v>
      </c>
      <c r="AV27" s="61" t="n">
        <v>87325</v>
      </c>
      <c r="AW27" s="61" t="n">
        <v>194200</v>
      </c>
      <c r="AX27" s="61" t="n">
        <v>204175</v>
      </c>
      <c r="AY27" s="61" t="n">
        <v>202500</v>
      </c>
      <c r="AZ27" s="61" t="n">
        <v>0</v>
      </c>
      <c r="BA27" s="61" t="inlineStr">
        <is>
          <t>否</t>
        </is>
      </c>
      <c r="BB27" s="61" t="n">
        <v>134000</v>
      </c>
      <c r="BC27" s="61" t="n">
        <v>409025.36</v>
      </c>
      <c r="BD27" s="61" t="n">
        <v>0</v>
      </c>
      <c r="BE27" s="36" t="inlineStr">
        <is>
          <t>曹星</t>
        </is>
      </c>
      <c r="BF27" s="61" t="n">
        <v>114600</v>
      </c>
      <c r="BG27" s="61" t="n">
        <v>81900</v>
      </c>
      <c r="BH27" s="61" t="n">
        <v>83200</v>
      </c>
      <c r="BI27" s="61" t="n">
        <v>98700</v>
      </c>
      <c r="BJ27" s="61" t="n">
        <v>98299.64</v>
      </c>
      <c r="BK27" s="61" t="n">
        <v>0</v>
      </c>
      <c r="BL27" s="61" t="n">
        <v>0</v>
      </c>
      <c r="BM27" s="36" t="n">
        <v>114600</v>
      </c>
      <c r="BN27" s="36" t="n">
        <v>81900</v>
      </c>
      <c r="BO27" s="36" t="n">
        <v>409025.36</v>
      </c>
      <c r="BP27" s="36" t="n">
        <v>134000</v>
      </c>
      <c r="BQ27" s="36" t="n">
        <v>476699.64</v>
      </c>
      <c r="BR27" s="36" t="n">
        <v>0</v>
      </c>
    </row>
    <row r="28" customFormat="1" s="5">
      <c r="A28" s="34" t="inlineStr">
        <is>
          <t>广州集泰化工股份有限公司</t>
        </is>
      </c>
      <c r="B28" s="35" t="inlineStr">
        <is>
          <t>G130902119</t>
        </is>
      </c>
      <c r="C28" s="36" t="inlineStr">
        <is>
          <t>杭州赛力新材料有限公司</t>
        </is>
      </c>
      <c r="D28" s="36" t="n"/>
      <c r="E28" s="36" t="n">
        <v>1</v>
      </c>
      <c r="F28" s="37" t="n">
        <v>46172</v>
      </c>
      <c r="G28" s="36" t="inlineStr">
        <is>
          <t>曹星</t>
        </is>
      </c>
      <c r="H28" s="36" t="n"/>
      <c r="I28" s="36" t="inlineStr">
        <is>
          <t>交联剂</t>
        </is>
      </c>
      <c r="J28" s="36" t="n">
        <v>45</v>
      </c>
      <c r="K28" s="36" t="n">
        <v>90</v>
      </c>
      <c r="L28" s="44" t="n">
        <v>0</v>
      </c>
      <c r="M28" s="36" t="inlineStr">
        <is>
          <t>银承/电汇</t>
        </is>
      </c>
      <c r="N28" s="36" t="n"/>
      <c r="O28" s="61" t="n"/>
      <c r="P28" s="61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61" t="n">
        <v>1152000</v>
      </c>
      <c r="Z28" s="61" t="n">
        <v>1152000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1" t="n">
        <v>0</v>
      </c>
      <c r="AH28" s="61" t="n">
        <v>0</v>
      </c>
      <c r="AI28" s="61" t="n">
        <v>0</v>
      </c>
      <c r="AJ28" s="61" t="n">
        <v>0</v>
      </c>
      <c r="AK28" s="61" t="n">
        <v>0</v>
      </c>
      <c r="AL28" s="61" t="n">
        <v>0</v>
      </c>
      <c r="AM28" s="61" t="n"/>
      <c r="AN28" s="61" t="n">
        <v>1152000</v>
      </c>
      <c r="AO28" s="61" t="n">
        <v>0</v>
      </c>
      <c r="AP28" s="61" t="n">
        <v>0</v>
      </c>
      <c r="AQ28" s="61" t="n">
        <v>1198000</v>
      </c>
      <c r="AR28" s="61" t="n">
        <v>289500</v>
      </c>
      <c r="AS28" s="61" t="n">
        <v>1195100</v>
      </c>
      <c r="AT28" s="61" t="n">
        <v>849900</v>
      </c>
      <c r="AU28" s="61" t="n">
        <v>0</v>
      </c>
      <c r="AV28" s="61" t="n">
        <v>477500</v>
      </c>
      <c r="AW28" s="61" t="n">
        <v>450000</v>
      </c>
      <c r="AX28" s="61" t="n">
        <v>422000</v>
      </c>
      <c r="AY28" s="61" t="n">
        <v>1358700</v>
      </c>
      <c r="AZ28" s="61" t="n">
        <v>490200</v>
      </c>
      <c r="BA28" s="61" t="inlineStr">
        <is>
          <t>否</t>
        </is>
      </c>
      <c r="BB28" s="61" t="n">
        <v>1487500</v>
      </c>
      <c r="BC28" s="61" t="n">
        <v>3528700</v>
      </c>
      <c r="BD28" s="61" t="n">
        <v>0</v>
      </c>
      <c r="BE28" s="36" t="inlineStr">
        <is>
          <t>曹星</t>
        </is>
      </c>
      <c r="BF28" s="61" t="n">
        <v>1152000</v>
      </c>
      <c r="BG28" s="61" t="n">
        <v>0</v>
      </c>
      <c r="BH28" s="61" t="n">
        <v>0</v>
      </c>
      <c r="BI28" s="61" t="n">
        <v>0</v>
      </c>
      <c r="BJ28" s="61" t="n">
        <v>0</v>
      </c>
      <c r="BK28" s="61" t="n">
        <v>0</v>
      </c>
      <c r="BL28" s="61" t="n">
        <v>0</v>
      </c>
      <c r="BM28" s="36" t="n">
        <v>1152000</v>
      </c>
      <c r="BN28" s="36" t="n">
        <v>0</v>
      </c>
      <c r="BO28" s="36" t="n">
        <v>3528700</v>
      </c>
      <c r="BP28" s="36" t="n">
        <v>1487500</v>
      </c>
      <c r="BQ28" s="36" t="n">
        <v>1152000</v>
      </c>
      <c r="BR28" s="36" t="n">
        <v>0</v>
      </c>
    </row>
    <row r="29" customFormat="1" s="5">
      <c r="A29" s="34" t="inlineStr">
        <is>
          <t>广州集泰化工股份有限公司</t>
        </is>
      </c>
      <c r="B29" s="35" t="inlineStr">
        <is>
          <t>G130902134</t>
        </is>
      </c>
      <c r="C29" s="36" t="inlineStr">
        <is>
          <t>午禾国际贸易（上海）有限公司</t>
        </is>
      </c>
      <c r="D29" s="36" t="n"/>
      <c r="E29" s="36" t="n">
        <v>2</v>
      </c>
      <c r="F29" s="37" t="n">
        <v>46172</v>
      </c>
      <c r="G29" s="36" t="inlineStr">
        <is>
          <t>曹星</t>
        </is>
      </c>
      <c r="H29" s="36" t="n"/>
      <c r="I29" s="36" t="inlineStr">
        <is>
          <t>聚酰胺蜡</t>
        </is>
      </c>
      <c r="J29" s="36" t="n">
        <v>180</v>
      </c>
      <c r="K29" s="36" t="n">
        <v>180</v>
      </c>
      <c r="L29" s="44" t="n">
        <v>0</v>
      </c>
      <c r="M29" s="36" t="inlineStr">
        <is>
          <t>银承/电汇</t>
        </is>
      </c>
      <c r="N29" s="36" t="n"/>
      <c r="O29" s="61" t="n">
        <v>404206.74</v>
      </c>
      <c r="P29" s="61" t="n"/>
      <c r="Q29" s="36" t="n"/>
      <c r="R29" s="36" t="n"/>
      <c r="S29" s="36" t="n">
        <v>404206.74</v>
      </c>
      <c r="T29" s="36" t="n"/>
      <c r="U29" s="36" t="n"/>
      <c r="V29" s="36" t="n"/>
      <c r="W29" s="36" t="n"/>
      <c r="X29" s="36" t="n"/>
      <c r="Y29" s="61" t="n">
        <v>993438.6</v>
      </c>
      <c r="Z29" s="61" t="n">
        <v>151200</v>
      </c>
      <c r="AA29" s="61" t="n">
        <v>49140</v>
      </c>
      <c r="AB29" s="61" t="n">
        <v>98280</v>
      </c>
      <c r="AC29" s="61" t="n">
        <v>147420</v>
      </c>
      <c r="AD29" s="61" t="n">
        <v>98280</v>
      </c>
      <c r="AE29" s="81" t="n">
        <v>101880</v>
      </c>
      <c r="AF29" s="66" t="n">
        <v>101880</v>
      </c>
      <c r="AG29" s="66" t="n">
        <v>245358.6</v>
      </c>
      <c r="AH29" s="61" t="n">
        <v>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/>
      <c r="AN29" s="61" t="n">
        <v>151200</v>
      </c>
      <c r="AO29" s="61" t="n">
        <v>49140</v>
      </c>
      <c r="AP29" s="61" t="n">
        <v>98280</v>
      </c>
      <c r="AQ29" s="61" t="n">
        <v>147420</v>
      </c>
      <c r="AR29" s="61" t="n">
        <v>98280</v>
      </c>
      <c r="AS29" s="61" t="n">
        <v>101880</v>
      </c>
      <c r="AT29" s="61" t="n">
        <v>101880</v>
      </c>
      <c r="AU29" s="61" t="n">
        <v>245700</v>
      </c>
      <c r="AV29" s="61" t="n">
        <v>147420</v>
      </c>
      <c r="AW29" s="61" t="n">
        <v>98280</v>
      </c>
      <c r="AX29" s="61" t="n">
        <v>98280</v>
      </c>
      <c r="AY29" s="61" t="n">
        <v>98280</v>
      </c>
      <c r="AZ29" s="61" t="n">
        <v>49140</v>
      </c>
      <c r="BA29" s="61" t="inlineStr">
        <is>
          <t>否</t>
        </is>
      </c>
      <c r="BB29" s="61" t="n">
        <v>140000</v>
      </c>
      <c r="BC29" s="61" t="n">
        <v>340000</v>
      </c>
      <c r="BD29" s="61" t="n">
        <v>0</v>
      </c>
      <c r="BE29" s="36" t="inlineStr">
        <is>
          <t>曹星</t>
        </is>
      </c>
      <c r="BF29" s="61" t="n">
        <v>151200</v>
      </c>
      <c r="BG29" s="61" t="n">
        <v>49140</v>
      </c>
      <c r="BH29" s="61" t="n">
        <v>98280</v>
      </c>
      <c r="BI29" s="61" t="n">
        <v>147420</v>
      </c>
      <c r="BJ29" s="61" t="n">
        <v>98280</v>
      </c>
      <c r="BK29" s="61" t="n">
        <v>101880</v>
      </c>
      <c r="BL29" s="61" t="n">
        <v>347238.6</v>
      </c>
      <c r="BM29" s="36" t="n">
        <v>151200</v>
      </c>
      <c r="BN29" s="36" t="n">
        <v>49140</v>
      </c>
      <c r="BO29" s="36" t="n">
        <v>340000</v>
      </c>
      <c r="BP29" s="36" t="n">
        <v>140000</v>
      </c>
      <c r="BQ29" s="36" t="n">
        <v>993438.6</v>
      </c>
      <c r="BR29" s="36" t="n">
        <v>0</v>
      </c>
    </row>
    <row r="30" customFormat="1" s="5">
      <c r="A30" s="34" t="inlineStr">
        <is>
          <t>广州集泰化工股份有限公司</t>
        </is>
      </c>
      <c r="B30" s="35" t="inlineStr">
        <is>
          <t>G130902137</t>
        </is>
      </c>
      <c r="C30" s="36" t="inlineStr">
        <is>
          <t>江西晨光新材料股份有限公司</t>
        </is>
      </c>
      <c r="D30" s="36" t="n"/>
      <c r="E30" s="36" t="n">
        <v>1</v>
      </c>
      <c r="F30" s="37" t="n">
        <v>46172</v>
      </c>
      <c r="G30" s="36" t="inlineStr">
        <is>
          <t>曹星</t>
        </is>
      </c>
      <c r="H30" s="36" t="n"/>
      <c r="I30" s="36" t="inlineStr">
        <is>
          <t>偶联剂</t>
        </is>
      </c>
      <c r="J30" s="36" t="n">
        <v>30</v>
      </c>
      <c r="K30" s="36" t="n">
        <v>60</v>
      </c>
      <c r="L30" s="44" t="n">
        <v>0</v>
      </c>
      <c r="M30" s="36" t="inlineStr">
        <is>
          <t>银承/电汇</t>
        </is>
      </c>
      <c r="N30" s="36" t="n"/>
      <c r="O30" s="61" t="n">
        <v>199829.7</v>
      </c>
      <c r="P30" s="61" t="n"/>
      <c r="Q30" s="36" t="n"/>
      <c r="R30" s="36" t="n">
        <v>199829.7</v>
      </c>
      <c r="S30" s="36" t="n"/>
      <c r="T30" s="36" t="n"/>
      <c r="U30" s="36" t="n"/>
      <c r="V30" s="36" t="n"/>
      <c r="W30" s="36" t="n"/>
      <c r="X30" s="36" t="n"/>
      <c r="Y30" s="61" t="n">
        <v>307393</v>
      </c>
      <c r="Z30" s="61" t="n">
        <v>85360</v>
      </c>
      <c r="AA30" s="82" t="n">
        <v>97340</v>
      </c>
      <c r="AB30" s="66" t="n">
        <v>124693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0</v>
      </c>
      <c r="AL30" s="61" t="n">
        <v>0</v>
      </c>
      <c r="AM30" s="61" t="n"/>
      <c r="AN30" s="61" t="n">
        <v>85360</v>
      </c>
      <c r="AO30" s="61" t="n">
        <v>97340</v>
      </c>
      <c r="AP30" s="61" t="n">
        <v>127310</v>
      </c>
      <c r="AQ30" s="61" t="n">
        <v>3600</v>
      </c>
      <c r="AR30" s="61" t="n">
        <v>157925</v>
      </c>
      <c r="AS30" s="61" t="n">
        <v>4080</v>
      </c>
      <c r="AT30" s="61" t="n">
        <v>151640</v>
      </c>
      <c r="AU30" s="61" t="n">
        <v>157540</v>
      </c>
      <c r="AV30" s="61" t="n">
        <v>44800</v>
      </c>
      <c r="AW30" s="61" t="n">
        <v>108990</v>
      </c>
      <c r="AX30" s="61" t="n">
        <v>172930</v>
      </c>
      <c r="AY30" s="61" t="n">
        <v>50400</v>
      </c>
      <c r="AZ30" s="61" t="n">
        <v>156740</v>
      </c>
      <c r="BA30" s="61" t="inlineStr">
        <is>
          <t>否</t>
        </is>
      </c>
      <c r="BB30" s="61" t="n">
        <v>67213</v>
      </c>
      <c r="BC30" s="61" t="n">
        <v>407213</v>
      </c>
      <c r="BD30" s="61" t="n">
        <v>0</v>
      </c>
      <c r="BE30" s="36" t="inlineStr">
        <is>
          <t>曹星</t>
        </is>
      </c>
      <c r="BF30" s="61" t="n">
        <v>85360</v>
      </c>
      <c r="BG30" s="61" t="n">
        <v>97340</v>
      </c>
      <c r="BH30" s="61" t="n">
        <v>124693</v>
      </c>
      <c r="BI30" s="61" t="n">
        <v>0</v>
      </c>
      <c r="BJ30" s="61" t="n">
        <v>0</v>
      </c>
      <c r="BK30" s="61" t="n">
        <v>0</v>
      </c>
      <c r="BL30" s="61" t="n">
        <v>0</v>
      </c>
      <c r="BM30" s="36" t="n">
        <v>85360</v>
      </c>
      <c r="BN30" s="36" t="n">
        <v>97340</v>
      </c>
      <c r="BO30" s="36" t="n">
        <v>407213</v>
      </c>
      <c r="BP30" s="36" t="n">
        <v>67213</v>
      </c>
      <c r="BQ30" s="36" t="n">
        <v>307393</v>
      </c>
      <c r="BR30" s="36" t="n">
        <v>0</v>
      </c>
    </row>
    <row r="31" customFormat="1" s="5">
      <c r="A31" s="34" t="inlineStr">
        <is>
          <t>广州集泰化工股份有限公司</t>
        </is>
      </c>
      <c r="B31" s="35" t="inlineStr">
        <is>
          <t>G130902141</t>
        </is>
      </c>
      <c r="C31" s="36" t="inlineStr">
        <is>
          <t>山东东岳有机硅材料股份有限公司</t>
        </is>
      </c>
      <c r="D31" s="36" t="n"/>
      <c r="E31" s="36" t="n">
        <v>0</v>
      </c>
      <c r="F31" s="37" t="n">
        <v>46172</v>
      </c>
      <c r="G31" s="36" t="inlineStr">
        <is>
          <t>曹星</t>
        </is>
      </c>
      <c r="H31" s="36" t="n"/>
      <c r="I31" s="36" t="inlineStr">
        <is>
          <t>107、DMC、硅油</t>
        </is>
      </c>
      <c r="J31" s="36" t="n">
        <v>15</v>
      </c>
      <c r="K31" s="36" t="n">
        <v>15</v>
      </c>
      <c r="L31" s="44" t="n">
        <v>0</v>
      </c>
      <c r="M31" s="36" t="inlineStr">
        <is>
          <t>银承/电汇</t>
        </is>
      </c>
      <c r="N31" s="36" t="n"/>
      <c r="O31" s="61" t="n">
        <v>300160</v>
      </c>
      <c r="P31" s="61" t="n"/>
      <c r="Q31" s="36" t="n"/>
      <c r="R31" s="36" t="n">
        <v>300160</v>
      </c>
      <c r="S31" s="36" t="n"/>
      <c r="T31" s="36" t="n"/>
      <c r="U31" s="36" t="n"/>
      <c r="V31" s="36" t="n"/>
      <c r="W31" s="36" t="n"/>
      <c r="X31" s="36" t="n"/>
      <c r="Y31" s="61" t="n">
        <v>300160</v>
      </c>
      <c r="Z31" s="66" t="n">
        <v>300160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1" t="n">
        <v>0</v>
      </c>
      <c r="AH31" s="61" t="n">
        <v>0</v>
      </c>
      <c r="AI31" s="61" t="n">
        <v>0</v>
      </c>
      <c r="AJ31" s="61" t="n">
        <v>0</v>
      </c>
      <c r="AK31" s="61" t="n">
        <v>0</v>
      </c>
      <c r="AL31" s="61" t="n">
        <v>0</v>
      </c>
      <c r="AM31" s="61" t="n"/>
      <c r="AN31" s="61" t="n">
        <v>2469668</v>
      </c>
      <c r="AO31" s="61" t="n">
        <v>1276032</v>
      </c>
      <c r="AP31" s="61" t="n">
        <v>1896554</v>
      </c>
      <c r="AQ31" s="61" t="n">
        <v>3879137</v>
      </c>
      <c r="AR31" s="61" t="n">
        <v>1714730</v>
      </c>
      <c r="AS31" s="61" t="n">
        <v>524810</v>
      </c>
      <c r="AT31" s="61" t="n">
        <v>251460</v>
      </c>
      <c r="AU31" s="61" t="n">
        <v>252670</v>
      </c>
      <c r="AV31" s="61" t="n">
        <v>0</v>
      </c>
      <c r="AW31" s="61" t="n">
        <v>4103190</v>
      </c>
      <c r="AX31" s="61" t="n">
        <v>2459520</v>
      </c>
      <c r="AY31" s="61" t="n">
        <v>2587640</v>
      </c>
      <c r="AZ31" s="61" t="n">
        <v>5477662</v>
      </c>
      <c r="BA31" s="61" t="inlineStr">
        <is>
          <t>107客商</t>
        </is>
      </c>
      <c r="BB31" s="61" t="n">
        <v>2169508</v>
      </c>
      <c r="BC31" s="61" t="n">
        <v>9221231</v>
      </c>
      <c r="BD31" s="61" t="n">
        <v>298480.02</v>
      </c>
      <c r="BE31" s="36" t="inlineStr">
        <is>
          <t>曹星</t>
        </is>
      </c>
      <c r="BF31" s="61" t="n">
        <v>300160</v>
      </c>
      <c r="BG31" s="61" t="n">
        <v>0</v>
      </c>
      <c r="BH31" s="61" t="n">
        <v>0</v>
      </c>
      <c r="BI31" s="61" t="n">
        <v>0</v>
      </c>
      <c r="BJ31" s="61" t="n">
        <v>0</v>
      </c>
      <c r="BK31" s="61" t="n">
        <v>0</v>
      </c>
      <c r="BL31" s="61" t="n">
        <v>0</v>
      </c>
      <c r="BM31" s="36" t="n">
        <v>2469668</v>
      </c>
      <c r="BN31" s="36" t="n">
        <v>1276032</v>
      </c>
      <c r="BO31" s="36" t="n">
        <v>9221231</v>
      </c>
      <c r="BP31" s="36" t="n">
        <v>2169508</v>
      </c>
      <c r="BQ31" s="36" t="n">
        <v>300160</v>
      </c>
      <c r="BR31" s="36" t="n">
        <v>298480.02</v>
      </c>
    </row>
    <row r="32" customFormat="1" s="5">
      <c r="A32" s="34" t="inlineStr">
        <is>
          <t>广州集泰化工股份有限公司</t>
        </is>
      </c>
      <c r="B32" s="35" t="inlineStr">
        <is>
          <t>G130902150</t>
        </is>
      </c>
      <c r="C32" s="43" t="inlineStr">
        <is>
          <t>江苏瑞洋安泰新材料科技有限公司</t>
        </is>
      </c>
      <c r="D32" s="36" t="n"/>
      <c r="E32" s="36" t="n">
        <v>0</v>
      </c>
      <c r="F32" s="37" t="n">
        <v>46157</v>
      </c>
      <c r="G32" s="36" t="inlineStr">
        <is>
          <t>曹星</t>
        </is>
      </c>
      <c r="H32" s="36" t="n"/>
      <c r="I32" s="36" t="inlineStr">
        <is>
          <t>PE树脂</t>
        </is>
      </c>
      <c r="J32" s="36" t="n">
        <v>60</v>
      </c>
      <c r="K32" s="36" t="n">
        <v>90</v>
      </c>
      <c r="L32" s="44" t="n">
        <v>0</v>
      </c>
      <c r="M32" s="36" t="inlineStr">
        <is>
          <t>银承/电汇</t>
        </is>
      </c>
      <c r="N32" s="36" t="n"/>
      <c r="O32" s="61" t="n">
        <v>480840</v>
      </c>
      <c r="P32" s="61" t="n"/>
      <c r="Q32" s="36" t="n"/>
      <c r="R32" s="36" t="n">
        <v>480840</v>
      </c>
      <c r="S32" s="36" t="n"/>
      <c r="T32" s="36" t="n"/>
      <c r="U32" s="36" t="n"/>
      <c r="V32" s="36" t="n"/>
      <c r="W32" s="36" t="n"/>
      <c r="X32" s="36" t="n"/>
      <c r="Y32" s="61" t="n">
        <v>2378040</v>
      </c>
      <c r="Z32" s="61" t="n">
        <v>1008400</v>
      </c>
      <c r="AA32" s="61" t="n">
        <v>888800</v>
      </c>
      <c r="AB32" s="66" t="n">
        <v>480840</v>
      </c>
      <c r="AC32" s="61" t="n">
        <v>0</v>
      </c>
      <c r="AD32" s="61" t="n">
        <v>0</v>
      </c>
      <c r="AE32" s="61" t="n">
        <v>0</v>
      </c>
      <c r="AF32" s="61" t="n">
        <v>0</v>
      </c>
      <c r="AG32" s="61" t="n">
        <v>0</v>
      </c>
      <c r="AH32" s="61" t="n">
        <v>0</v>
      </c>
      <c r="AI32" s="61" t="n">
        <v>0</v>
      </c>
      <c r="AJ32" s="61" t="n">
        <v>0</v>
      </c>
      <c r="AK32" s="61" t="n">
        <v>0</v>
      </c>
      <c r="AL32" s="61" t="n">
        <v>0</v>
      </c>
      <c r="AM32" s="61" t="n"/>
      <c r="AN32" s="61" t="n">
        <v>1008400</v>
      </c>
      <c r="AO32" s="61" t="n">
        <v>888800</v>
      </c>
      <c r="AP32" s="61" t="n">
        <v>487220</v>
      </c>
      <c r="AQ32" s="61" t="n">
        <v>396140</v>
      </c>
      <c r="AR32" s="61" t="n">
        <v>847480</v>
      </c>
      <c r="AS32" s="61" t="n">
        <v>97920</v>
      </c>
      <c r="AT32" s="61" t="n">
        <v>527980</v>
      </c>
      <c r="AU32" s="61" t="n">
        <v>381400</v>
      </c>
      <c r="AV32" s="61" t="n">
        <v>1050760</v>
      </c>
      <c r="AW32" s="61" t="n">
        <v>761440</v>
      </c>
      <c r="AX32" s="61" t="n">
        <v>1551540</v>
      </c>
      <c r="AY32" s="61" t="n">
        <v>801500</v>
      </c>
      <c r="AZ32" s="61" t="n">
        <v>86640</v>
      </c>
      <c r="BA32" s="61" t="inlineStr">
        <is>
          <t>否</t>
        </is>
      </c>
      <c r="BB32" s="61" t="n">
        <v>400000</v>
      </c>
      <c r="BC32" s="61" t="n">
        <v>2094080</v>
      </c>
      <c r="BD32" s="61" t="n">
        <v>0</v>
      </c>
      <c r="BE32" s="36" t="inlineStr">
        <is>
          <t>曹星</t>
        </is>
      </c>
      <c r="BF32" s="61" t="n">
        <v>1008400</v>
      </c>
      <c r="BG32" s="61" t="n">
        <v>888800</v>
      </c>
      <c r="BH32" s="61" t="n">
        <v>480840</v>
      </c>
      <c r="BI32" s="61" t="n">
        <v>0</v>
      </c>
      <c r="BJ32" s="61" t="n">
        <v>0</v>
      </c>
      <c r="BK32" s="61" t="n">
        <v>0</v>
      </c>
      <c r="BL32" s="61" t="n">
        <v>0</v>
      </c>
      <c r="BM32" s="36" t="n">
        <v>1008400</v>
      </c>
      <c r="BN32" s="36" t="n">
        <v>888800</v>
      </c>
      <c r="BO32" s="36" t="n">
        <v>2094080</v>
      </c>
      <c r="BP32" s="36" t="n">
        <v>400000</v>
      </c>
      <c r="BQ32" s="36" t="n">
        <v>2378040</v>
      </c>
      <c r="BR32" s="36" t="n">
        <v>0</v>
      </c>
    </row>
    <row r="33" customFormat="1" s="5">
      <c r="A33" s="34" t="inlineStr">
        <is>
          <t>广州集泰化工股份有限公司</t>
        </is>
      </c>
      <c r="B33" s="35" t="inlineStr">
        <is>
          <t>G130902153</t>
        </is>
      </c>
      <c r="C33" s="36" t="inlineStr">
        <is>
          <t>广州申悦贸易有限公司</t>
        </is>
      </c>
      <c r="D33" s="36" t="n"/>
      <c r="E33" s="36" t="n">
        <v>2</v>
      </c>
      <c r="F33" s="37" t="n">
        <v>46172</v>
      </c>
      <c r="G33" s="36" t="inlineStr">
        <is>
          <t>曹星</t>
        </is>
      </c>
      <c r="H33" s="36" t="n"/>
      <c r="I33" s="44" t="n"/>
      <c r="J33" s="36" t="n">
        <v>30</v>
      </c>
      <c r="K33" s="36" t="n">
        <v>60</v>
      </c>
      <c r="L33" s="44" t="n">
        <v>0</v>
      </c>
      <c r="M33" s="36" t="inlineStr">
        <is>
          <t>电汇</t>
        </is>
      </c>
      <c r="N33" s="36" t="n"/>
      <c r="O33" s="61" t="n">
        <v>26325</v>
      </c>
      <c r="P33" s="61" t="n"/>
      <c r="Q33" s="36" t="n"/>
      <c r="R33" s="36" t="n"/>
      <c r="S33" s="36" t="n"/>
      <c r="T33" s="36" t="n"/>
      <c r="U33" s="36" t="n"/>
      <c r="V33" s="36" t="n"/>
      <c r="W33" s="36" t="n">
        <v>26325</v>
      </c>
      <c r="X33" s="36" t="n"/>
      <c r="Y33" s="61" t="n">
        <v>39000</v>
      </c>
      <c r="Z33" s="61" t="n">
        <v>9750</v>
      </c>
      <c r="AA33" s="83" t="n">
        <v>9750</v>
      </c>
      <c r="AB33" s="61" t="n">
        <v>0</v>
      </c>
      <c r="AC33" s="66" t="n">
        <v>9750</v>
      </c>
      <c r="AD33" s="66" t="n">
        <v>9750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/>
      <c r="AN33" s="61" t="n">
        <v>9750</v>
      </c>
      <c r="AO33" s="61" t="n">
        <v>9750</v>
      </c>
      <c r="AP33" s="61" t="n">
        <v>0</v>
      </c>
      <c r="AQ33" s="61" t="n">
        <v>9750</v>
      </c>
      <c r="AR33" s="61" t="n">
        <v>9750</v>
      </c>
      <c r="AS33" s="61" t="n">
        <v>0</v>
      </c>
      <c r="AT33" s="61" t="n">
        <v>9750</v>
      </c>
      <c r="AU33" s="61" t="n">
        <v>0</v>
      </c>
      <c r="AV33" s="61" t="n">
        <v>0</v>
      </c>
      <c r="AW33" s="61" t="n">
        <v>9750</v>
      </c>
      <c r="AX33" s="61" t="n">
        <v>19500</v>
      </c>
      <c r="AY33" s="61" t="n">
        <v>9750</v>
      </c>
      <c r="AZ33" s="61" t="n">
        <v>0</v>
      </c>
      <c r="BA33" s="61" t="inlineStr">
        <is>
          <t>否</t>
        </is>
      </c>
      <c r="BB33" s="61" t="n">
        <v>0</v>
      </c>
      <c r="BC33" s="61" t="n">
        <v>9750</v>
      </c>
      <c r="BD33" s="61" t="n">
        <v>0</v>
      </c>
      <c r="BE33" s="36" t="inlineStr">
        <is>
          <t>曹星</t>
        </is>
      </c>
      <c r="BF33" s="61" t="n">
        <v>9750</v>
      </c>
      <c r="BG33" s="61" t="n">
        <v>9750</v>
      </c>
      <c r="BH33" s="61" t="n">
        <v>0</v>
      </c>
      <c r="BI33" s="61" t="n">
        <v>9750</v>
      </c>
      <c r="BJ33" s="61" t="n">
        <v>9750</v>
      </c>
      <c r="BK33" s="61" t="n">
        <v>0</v>
      </c>
      <c r="BL33" s="61" t="n">
        <v>0</v>
      </c>
      <c r="BM33" s="36" t="n">
        <v>9750</v>
      </c>
      <c r="BN33" s="36" t="n">
        <v>9750</v>
      </c>
      <c r="BO33" s="36" t="n">
        <v>9750</v>
      </c>
      <c r="BP33" s="36" t="n">
        <v>0</v>
      </c>
      <c r="BQ33" s="36" t="n">
        <v>39000</v>
      </c>
      <c r="BR33" s="36" t="n">
        <v>0</v>
      </c>
    </row>
    <row r="34" customFormat="1" s="5">
      <c r="A34" s="34" t="inlineStr">
        <is>
          <t>广州集泰化工股份有限公司</t>
        </is>
      </c>
      <c r="B34" s="35" t="inlineStr">
        <is>
          <t>G130902166</t>
        </is>
      </c>
      <c r="C34" s="36" t="inlineStr">
        <is>
          <t>浙江沸点化工有限公司</t>
        </is>
      </c>
      <c r="D34" s="36" t="n"/>
      <c r="E34" s="36" t="n">
        <v>0</v>
      </c>
      <c r="F34" s="37" t="n">
        <v>46172</v>
      </c>
      <c r="G34" s="36" t="inlineStr">
        <is>
          <t>曹星</t>
        </is>
      </c>
      <c r="H34" s="36" t="n"/>
      <c r="I34" s="36" t="inlineStr">
        <is>
          <t>偶联剂</t>
        </is>
      </c>
      <c r="J34" s="36" t="n">
        <v>30</v>
      </c>
      <c r="K34" s="36" t="n">
        <v>30</v>
      </c>
      <c r="L34" s="44" t="n">
        <v>0</v>
      </c>
      <c r="M34" s="36" t="inlineStr">
        <is>
          <t>电汇</t>
        </is>
      </c>
      <c r="N34" s="36" t="n"/>
      <c r="O34" s="61" t="n">
        <v>760</v>
      </c>
      <c r="P34" s="61" t="n"/>
      <c r="Q34" s="36" t="n"/>
      <c r="R34" s="36" t="n"/>
      <c r="S34" s="36" t="n"/>
      <c r="T34" s="36" t="n"/>
      <c r="U34" s="36" t="n"/>
      <c r="V34" s="36" t="n"/>
      <c r="W34" s="36" t="n">
        <v>760</v>
      </c>
      <c r="X34" s="36" t="n"/>
      <c r="Y34" s="61" t="n">
        <v>760</v>
      </c>
      <c r="Z34" s="61" t="n">
        <v>0</v>
      </c>
      <c r="AA34" s="61" t="n">
        <v>0</v>
      </c>
      <c r="AB34" s="66" t="n">
        <v>760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0</v>
      </c>
      <c r="AJ34" s="61" t="n">
        <v>0</v>
      </c>
      <c r="AK34" s="61" t="n">
        <v>0</v>
      </c>
      <c r="AL34" s="61" t="n">
        <v>0</v>
      </c>
      <c r="AM34" s="61" t="n"/>
      <c r="AN34" s="61" t="n">
        <v>0</v>
      </c>
      <c r="AO34" s="61" t="n">
        <v>0</v>
      </c>
      <c r="AP34" s="61" t="n">
        <v>760</v>
      </c>
      <c r="AQ34" s="61" t="n">
        <v>0</v>
      </c>
      <c r="AR34" s="61" t="n">
        <v>0</v>
      </c>
      <c r="AS34" s="61" t="n">
        <v>0</v>
      </c>
      <c r="AT34" s="61" t="n">
        <v>0</v>
      </c>
      <c r="AU34" s="61" t="n">
        <v>0</v>
      </c>
      <c r="AV34" s="61" t="n">
        <v>0</v>
      </c>
      <c r="AW34" s="61" t="n">
        <v>0</v>
      </c>
      <c r="AX34" s="61" t="n">
        <v>0</v>
      </c>
      <c r="AY34" s="61" t="n">
        <v>0</v>
      </c>
      <c r="AZ34" s="61" t="n">
        <v>0</v>
      </c>
      <c r="BA34" s="61" t="inlineStr">
        <is>
          <t>否</t>
        </is>
      </c>
      <c r="BB34" s="61" t="n">
        <v>0</v>
      </c>
      <c r="BC34" s="61" t="n">
        <v>0</v>
      </c>
      <c r="BD34" s="61" t="n">
        <v>0</v>
      </c>
      <c r="BE34" s="36" t="inlineStr">
        <is>
          <t>曹星</t>
        </is>
      </c>
      <c r="BF34" s="61" t="n">
        <v>0</v>
      </c>
      <c r="BG34" s="61" t="n">
        <v>0</v>
      </c>
      <c r="BH34" s="61" t="n">
        <v>760</v>
      </c>
      <c r="BI34" s="61" t="n">
        <v>0</v>
      </c>
      <c r="BJ34" s="61" t="n">
        <v>0</v>
      </c>
      <c r="BK34" s="61" t="n">
        <v>0</v>
      </c>
      <c r="BL34" s="61" t="n">
        <v>0</v>
      </c>
      <c r="BM34" s="36" t="n">
        <v>0</v>
      </c>
      <c r="BN34" s="36" t="n">
        <v>0</v>
      </c>
      <c r="BO34" s="36" t="n">
        <v>0</v>
      </c>
      <c r="BP34" s="36" t="n">
        <v>0</v>
      </c>
      <c r="BQ34" s="36" t="n">
        <v>760</v>
      </c>
      <c r="BR34" s="36" t="n">
        <v>0</v>
      </c>
    </row>
    <row r="35" customFormat="1" s="5">
      <c r="A35" s="34" t="inlineStr">
        <is>
          <t>广州集泰化工股份有限公司</t>
        </is>
      </c>
      <c r="B35" s="35" t="inlineStr">
        <is>
          <t>G130902167</t>
        </is>
      </c>
      <c r="C35" s="36" t="inlineStr">
        <is>
          <t>建德市华宇纳米科技有限公司</t>
        </is>
      </c>
      <c r="D35" s="36" t="n"/>
      <c r="E35" s="44" t="n">
        <v>2</v>
      </c>
      <c r="F35" s="37" t="n">
        <v>46172</v>
      </c>
      <c r="G35" s="36" t="inlineStr">
        <is>
          <t>彭时莎</t>
        </is>
      </c>
      <c r="H35" s="36" t="n"/>
      <c r="I35" s="36" t="inlineStr">
        <is>
          <t>钙粉</t>
        </is>
      </c>
      <c r="J35" s="36" t="n">
        <v>30</v>
      </c>
      <c r="K35" s="36" t="n">
        <v>30</v>
      </c>
      <c r="L35" s="44" t="n">
        <v>0</v>
      </c>
      <c r="M35" s="36" t="inlineStr">
        <is>
          <t>电汇</t>
        </is>
      </c>
      <c r="N35" s="36" t="n"/>
      <c r="O35" s="61" t="n">
        <v>161884.8</v>
      </c>
      <c r="P35" s="61" t="n"/>
      <c r="Q35" s="36" t="n"/>
      <c r="R35" s="36" t="n"/>
      <c r="S35" s="36" t="n">
        <v>161884.8</v>
      </c>
      <c r="T35" s="36" t="n"/>
      <c r="U35" s="36" t="n"/>
      <c r="V35" s="36" t="n"/>
      <c r="W35" s="36" t="n"/>
      <c r="X35" s="36" t="n"/>
      <c r="Y35" s="61" t="n">
        <v>179872</v>
      </c>
      <c r="Z35" s="61" t="n">
        <v>15000</v>
      </c>
      <c r="AA35" s="84" t="n">
        <v>45000</v>
      </c>
      <c r="AB35" s="66" t="n">
        <v>15000</v>
      </c>
      <c r="AC35" s="66" t="n">
        <v>15000</v>
      </c>
      <c r="AD35" s="66" t="n">
        <v>45000</v>
      </c>
      <c r="AE35" s="66" t="n">
        <v>44872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0</v>
      </c>
      <c r="AM35" s="61" t="n"/>
      <c r="AN35" s="61" t="n">
        <v>15000</v>
      </c>
      <c r="AO35" s="61" t="n">
        <v>45000</v>
      </c>
      <c r="AP35" s="61" t="n">
        <v>15000</v>
      </c>
      <c r="AQ35" s="61" t="n">
        <v>15000</v>
      </c>
      <c r="AR35" s="61" t="n">
        <v>45000</v>
      </c>
      <c r="AS35" s="61" t="n">
        <v>45000</v>
      </c>
      <c r="AT35" s="61" t="n">
        <v>15000</v>
      </c>
      <c r="AU35" s="61" t="n">
        <v>12000</v>
      </c>
      <c r="AV35" s="61" t="n">
        <v>0</v>
      </c>
      <c r="AW35" s="61" t="n">
        <v>3000</v>
      </c>
      <c r="AX35" s="61" t="n">
        <v>0</v>
      </c>
      <c r="AY35" s="61" t="n">
        <v>0</v>
      </c>
      <c r="AZ35" s="61" t="n">
        <v>3600</v>
      </c>
      <c r="BA35" s="61" t="inlineStr">
        <is>
          <t>否</t>
        </is>
      </c>
      <c r="BB35" s="61" t="n">
        <v>24128</v>
      </c>
      <c r="BC35" s="61" t="n">
        <v>27128</v>
      </c>
      <c r="BD35" s="61" t="n">
        <v>0</v>
      </c>
      <c r="BE35" s="36" t="inlineStr">
        <is>
          <t>曹星</t>
        </is>
      </c>
      <c r="BF35" s="61" t="n">
        <v>15000</v>
      </c>
      <c r="BG35" s="61" t="n">
        <v>45000</v>
      </c>
      <c r="BH35" s="61" t="n">
        <v>15000</v>
      </c>
      <c r="BI35" s="61" t="n">
        <v>15000</v>
      </c>
      <c r="BJ35" s="61" t="n">
        <v>45000</v>
      </c>
      <c r="BK35" s="61" t="n">
        <v>44872</v>
      </c>
      <c r="BL35" s="61" t="n">
        <v>0</v>
      </c>
      <c r="BM35" s="36" t="n">
        <v>15000</v>
      </c>
      <c r="BN35" s="36" t="n">
        <v>45000</v>
      </c>
      <c r="BO35" s="36" t="n">
        <v>27128</v>
      </c>
      <c r="BP35" s="36" t="n">
        <v>24128</v>
      </c>
      <c r="BQ35" s="36" t="n">
        <v>179872</v>
      </c>
      <c r="BR35" s="36" t="n">
        <v>0</v>
      </c>
    </row>
    <row r="36" customFormat="1" s="5">
      <c r="A36" s="34" t="inlineStr">
        <is>
          <t>广州集泰化工股份有限公司</t>
        </is>
      </c>
      <c r="B36" s="35" t="inlineStr">
        <is>
          <t>G130902170</t>
        </is>
      </c>
      <c r="C36" s="36" t="inlineStr">
        <is>
          <t>东莞市五全新材料有限公司</t>
        </is>
      </c>
      <c r="D36" s="36" t="n"/>
      <c r="E36" s="36" t="n">
        <v>0</v>
      </c>
      <c r="F36" s="37" t="n">
        <v>46172</v>
      </c>
      <c r="G36" s="36" t="inlineStr">
        <is>
          <t>彭时莎</t>
        </is>
      </c>
      <c r="H36" s="36" t="n"/>
      <c r="I36" s="36" t="inlineStr">
        <is>
          <t>碳酸钙</t>
        </is>
      </c>
      <c r="J36" s="36" t="n">
        <v>90</v>
      </c>
      <c r="K36" s="36" t="n">
        <v>90</v>
      </c>
      <c r="L36" s="44" t="n">
        <v>0</v>
      </c>
      <c r="M36" s="36" t="inlineStr">
        <is>
          <t>银承/电汇</t>
        </is>
      </c>
      <c r="N36" s="36" t="n"/>
      <c r="O36" s="61" t="n">
        <v>84853.09</v>
      </c>
      <c r="P36" s="61" t="n"/>
      <c r="Q36" s="36" t="n"/>
      <c r="R36" s="36" t="n">
        <v>84853.09</v>
      </c>
      <c r="S36" s="36" t="n"/>
      <c r="T36" s="36" t="n"/>
      <c r="U36" s="36" t="n"/>
      <c r="V36" s="36" t="n"/>
      <c r="W36" s="36" t="n"/>
      <c r="X36" s="36" t="n"/>
      <c r="Y36" s="61" t="n">
        <v>125113.09</v>
      </c>
      <c r="Z36" s="61" t="n">
        <v>40260</v>
      </c>
      <c r="AA36" s="61" t="n">
        <v>0</v>
      </c>
      <c r="AB36" s="66" t="n">
        <v>54900</v>
      </c>
      <c r="AC36" s="61" t="n">
        <v>0</v>
      </c>
      <c r="AD36" s="61" t="n">
        <v>0</v>
      </c>
      <c r="AE36" s="66" t="n">
        <v>29953.09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/>
      <c r="AN36" s="61" t="n">
        <v>40260</v>
      </c>
      <c r="AO36" s="61" t="n">
        <v>0</v>
      </c>
      <c r="AP36" s="61" t="n">
        <v>54900</v>
      </c>
      <c r="AQ36" s="61" t="n">
        <v>0</v>
      </c>
      <c r="AR36" s="61" t="n">
        <v>0</v>
      </c>
      <c r="AS36" s="61" t="n">
        <v>30500</v>
      </c>
      <c r="AT36" s="61" t="n">
        <v>15860</v>
      </c>
      <c r="AU36" s="61" t="n">
        <v>15860</v>
      </c>
      <c r="AV36" s="61" t="n">
        <v>36600</v>
      </c>
      <c r="AW36" s="61" t="n">
        <v>40260</v>
      </c>
      <c r="AX36" s="61" t="n">
        <v>0</v>
      </c>
      <c r="AY36" s="61" t="n">
        <v>0</v>
      </c>
      <c r="AZ36" s="61" t="n">
        <v>70760</v>
      </c>
      <c r="BA36" s="61" t="inlineStr">
        <is>
          <t>否</t>
        </is>
      </c>
      <c r="BB36" s="61" t="n">
        <v>28779.62</v>
      </c>
      <c r="BC36" s="61" t="n">
        <v>68779.62</v>
      </c>
      <c r="BD36" s="61" t="n">
        <v>0</v>
      </c>
      <c r="BE36" s="36" t="inlineStr">
        <is>
          <t>曹星</t>
        </is>
      </c>
      <c r="BF36" s="61" t="n">
        <v>40260</v>
      </c>
      <c r="BG36" s="61" t="n">
        <v>0</v>
      </c>
      <c r="BH36" s="61" t="n">
        <v>54900</v>
      </c>
      <c r="BI36" s="61" t="n">
        <v>0</v>
      </c>
      <c r="BJ36" s="61" t="n">
        <v>0</v>
      </c>
      <c r="BK36" s="61" t="n">
        <v>29953.09</v>
      </c>
      <c r="BL36" s="61" t="n">
        <v>0</v>
      </c>
      <c r="BM36" s="36" t="n">
        <v>40260</v>
      </c>
      <c r="BN36" s="36" t="n">
        <v>0</v>
      </c>
      <c r="BO36" s="36" t="n">
        <v>68779.62</v>
      </c>
      <c r="BP36" s="36" t="n">
        <v>28779.62</v>
      </c>
      <c r="BQ36" s="36" t="n">
        <v>125113.09</v>
      </c>
      <c r="BR36" s="36" t="n">
        <v>0</v>
      </c>
    </row>
    <row r="37" customFormat="1" s="5">
      <c r="A37" s="34" t="inlineStr">
        <is>
          <t>广州集泰化工股份有限公司</t>
        </is>
      </c>
      <c r="B37" s="35" t="inlineStr">
        <is>
          <t>G130902180</t>
        </is>
      </c>
      <c r="C37" s="36" t="inlineStr">
        <is>
          <t>山东硅科新材料有限公司</t>
        </is>
      </c>
      <c r="D37" s="36" t="n"/>
      <c r="E37" s="36" t="n">
        <v>1</v>
      </c>
      <c r="F37" s="37" t="n">
        <v>46172</v>
      </c>
      <c r="G37" s="36" t="inlineStr">
        <is>
          <t>彭时莎</t>
        </is>
      </c>
      <c r="H37" s="36" t="n"/>
      <c r="I37" s="36" t="inlineStr">
        <is>
          <t>偶联剂</t>
        </is>
      </c>
      <c r="J37" s="36" t="n">
        <v>30</v>
      </c>
      <c r="K37" s="36" t="n">
        <v>30</v>
      </c>
      <c r="L37" s="44" t="n">
        <v>0</v>
      </c>
      <c r="M37" s="36" t="inlineStr">
        <is>
          <t>银承/电汇</t>
        </is>
      </c>
      <c r="N37" s="36" t="n"/>
      <c r="O37" s="61" t="n">
        <v>226350</v>
      </c>
      <c r="P37" s="61" t="n"/>
      <c r="Q37" s="36" t="n"/>
      <c r="R37" s="36" t="n">
        <v>226350</v>
      </c>
      <c r="S37" s="36" t="n"/>
      <c r="T37" s="36" t="n"/>
      <c r="U37" s="36" t="n"/>
      <c r="V37" s="36" t="n"/>
      <c r="W37" s="36" t="n"/>
      <c r="X37" s="36" t="n"/>
      <c r="Y37" s="61" t="n">
        <v>251500</v>
      </c>
      <c r="Z37" s="85" t="n">
        <v>162500</v>
      </c>
      <c r="AA37" s="66" t="n">
        <v>89000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/>
      <c r="AN37" s="61" t="n">
        <v>162500</v>
      </c>
      <c r="AO37" s="61" t="n">
        <v>89000</v>
      </c>
      <c r="AP37" s="61" t="n">
        <v>0</v>
      </c>
      <c r="AQ37" s="61" t="n">
        <v>58000</v>
      </c>
      <c r="AR37" s="61" t="n">
        <v>208000</v>
      </c>
      <c r="AS37" s="61" t="n">
        <v>2100</v>
      </c>
      <c r="AT37" s="61" t="n">
        <v>0</v>
      </c>
      <c r="AU37" s="61" t="n">
        <v>265000</v>
      </c>
      <c r="AV37" s="61" t="n">
        <v>93000</v>
      </c>
      <c r="AW37" s="61" t="n">
        <v>0</v>
      </c>
      <c r="AX37" s="61" t="n">
        <v>140025</v>
      </c>
      <c r="AY37" s="61" t="n">
        <v>115000</v>
      </c>
      <c r="AZ37" s="61" t="n">
        <v>109930</v>
      </c>
      <c r="BA37" s="61" t="inlineStr">
        <is>
          <t>否</t>
        </is>
      </c>
      <c r="BB37" s="61" t="n">
        <v>58000</v>
      </c>
      <c r="BC37" s="61" t="n">
        <v>268100</v>
      </c>
      <c r="BD37" s="61" t="n">
        <v>0</v>
      </c>
      <c r="BE37" s="36" t="inlineStr">
        <is>
          <t>曹星</t>
        </is>
      </c>
      <c r="BF37" s="61" t="n">
        <v>162500</v>
      </c>
      <c r="BG37" s="61" t="n">
        <v>89000</v>
      </c>
      <c r="BH37" s="61" t="n">
        <v>0</v>
      </c>
      <c r="BI37" s="61" t="n">
        <v>0</v>
      </c>
      <c r="BJ37" s="61" t="n">
        <v>0</v>
      </c>
      <c r="BK37" s="61" t="n">
        <v>0</v>
      </c>
      <c r="BL37" s="61" t="n">
        <v>0</v>
      </c>
      <c r="BM37" s="36" t="n">
        <v>162500</v>
      </c>
      <c r="BN37" s="36" t="n">
        <v>89000</v>
      </c>
      <c r="BO37" s="36" t="n">
        <v>268100</v>
      </c>
      <c r="BP37" s="36" t="n">
        <v>58000</v>
      </c>
      <c r="BQ37" s="36" t="n">
        <v>251500</v>
      </c>
      <c r="BR37" s="36" t="n">
        <v>0</v>
      </c>
    </row>
    <row r="38" customFormat="1" s="5">
      <c r="A38" s="34" t="inlineStr">
        <is>
          <t>广州集泰化工股份有限公司</t>
        </is>
      </c>
      <c r="B38" s="35" t="inlineStr">
        <is>
          <t>G130902208</t>
        </is>
      </c>
      <c r="C38" s="36" t="inlineStr">
        <is>
          <t>广东核心新材料股份有限公司</t>
        </is>
      </c>
      <c r="D38" s="36" t="n"/>
      <c r="E38" s="36" t="n">
        <v>2</v>
      </c>
      <c r="F38" s="37" t="n">
        <v>46172</v>
      </c>
      <c r="G38" s="36" t="inlineStr">
        <is>
          <t>彭时莎</t>
        </is>
      </c>
      <c r="H38" s="36" t="n"/>
      <c r="I38" s="36" t="inlineStr">
        <is>
          <t>聚酰胺蜡</t>
        </is>
      </c>
      <c r="J38" s="36" t="n">
        <v>30</v>
      </c>
      <c r="K38" s="36" t="n">
        <v>120</v>
      </c>
      <c r="L38" s="44" t="n">
        <v>0</v>
      </c>
      <c r="M38" s="36" t="inlineStr">
        <is>
          <t>电汇/银承</t>
        </is>
      </c>
      <c r="N38" s="36" t="n"/>
      <c r="O38" s="61" t="n">
        <v>64800</v>
      </c>
      <c r="P38" s="61" t="n"/>
      <c r="Q38" s="36" t="n"/>
      <c r="R38" s="36" t="n"/>
      <c r="S38" s="36" t="n">
        <v>64800</v>
      </c>
      <c r="T38" s="36" t="n"/>
      <c r="U38" s="36" t="n"/>
      <c r="V38" s="36" t="n"/>
      <c r="W38" s="36" t="n"/>
      <c r="X38" s="36" t="n"/>
      <c r="Y38" s="61" t="n">
        <v>189150</v>
      </c>
      <c r="Z38" s="61" t="n">
        <v>117150</v>
      </c>
      <c r="AA38" s="61" t="n">
        <v>0</v>
      </c>
      <c r="AB38" s="61" t="n">
        <v>0</v>
      </c>
      <c r="AC38" s="83" t="n">
        <v>24000</v>
      </c>
      <c r="AD38" s="66" t="n">
        <v>48000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0</v>
      </c>
      <c r="AK38" s="61" t="n">
        <v>0</v>
      </c>
      <c r="AL38" s="61" t="n">
        <v>0</v>
      </c>
      <c r="AM38" s="61" t="n"/>
      <c r="AN38" s="61" t="n">
        <v>117150</v>
      </c>
      <c r="AO38" s="61" t="n">
        <v>0</v>
      </c>
      <c r="AP38" s="61" t="n">
        <v>0</v>
      </c>
      <c r="AQ38" s="61" t="n">
        <v>24000</v>
      </c>
      <c r="AR38" s="61" t="n">
        <v>48000</v>
      </c>
      <c r="AS38" s="61" t="n">
        <v>64900</v>
      </c>
      <c r="AT38" s="61" t="n">
        <v>4150</v>
      </c>
      <c r="AU38" s="61" t="n">
        <v>58060</v>
      </c>
      <c r="AV38" s="61" t="n">
        <v>48000</v>
      </c>
      <c r="AW38" s="61" t="n">
        <v>0</v>
      </c>
      <c r="AX38" s="61" t="n">
        <v>72000</v>
      </c>
      <c r="AY38" s="61" t="n">
        <v>48000</v>
      </c>
      <c r="AZ38" s="61" t="n">
        <v>72000</v>
      </c>
      <c r="BA38" s="61" t="inlineStr">
        <is>
          <t>否</t>
        </is>
      </c>
      <c r="BB38" s="61" t="n">
        <v>0</v>
      </c>
      <c r="BC38" s="61" t="n">
        <v>175110</v>
      </c>
      <c r="BD38" s="61" t="n">
        <v>0</v>
      </c>
      <c r="BE38" s="36" t="inlineStr">
        <is>
          <t>曹星</t>
        </is>
      </c>
      <c r="BF38" s="61" t="n">
        <v>117150</v>
      </c>
      <c r="BG38" s="61" t="n">
        <v>0</v>
      </c>
      <c r="BH38" s="61" t="n">
        <v>0</v>
      </c>
      <c r="BI38" s="61" t="n">
        <v>24000</v>
      </c>
      <c r="BJ38" s="61" t="n">
        <v>48000</v>
      </c>
      <c r="BK38" s="61" t="n">
        <v>0</v>
      </c>
      <c r="BL38" s="61" t="n">
        <v>0</v>
      </c>
      <c r="BM38" s="36" t="n">
        <v>117150</v>
      </c>
      <c r="BN38" s="36" t="n">
        <v>0</v>
      </c>
      <c r="BO38" s="36" t="n">
        <v>175110</v>
      </c>
      <c r="BP38" s="36" t="n">
        <v>0</v>
      </c>
      <c r="BQ38" s="36" t="n">
        <v>189150</v>
      </c>
      <c r="BR38" s="36" t="n">
        <v>0</v>
      </c>
    </row>
    <row r="39" customFormat="1" s="5">
      <c r="A39" s="34" t="inlineStr">
        <is>
          <t>广州集泰化工股份有限公司</t>
        </is>
      </c>
      <c r="B39" s="35" t="inlineStr">
        <is>
          <t>G130902219</t>
        </is>
      </c>
      <c r="C39" s="36" t="inlineStr">
        <is>
          <t>浙江太有进出口有限责任公司</t>
        </is>
      </c>
      <c r="D39" s="36" t="n"/>
      <c r="E39" s="36" t="n">
        <v>1</v>
      </c>
      <c r="F39" s="37" t="n">
        <v>46172</v>
      </c>
      <c r="G39" s="36" t="inlineStr">
        <is>
          <t>彭时莎</t>
        </is>
      </c>
      <c r="H39" s="36" t="n"/>
      <c r="I39" s="36" t="inlineStr">
        <is>
          <t>交联剂</t>
        </is>
      </c>
      <c r="J39" s="36" t="n">
        <v>90</v>
      </c>
      <c r="K39" s="36" t="n">
        <v>180</v>
      </c>
      <c r="L39" s="44" t="n">
        <v>0</v>
      </c>
      <c r="M39" s="36" t="inlineStr">
        <is>
          <t>商承（3个月内）/银承/电汇</t>
        </is>
      </c>
      <c r="N39" s="36" t="n"/>
      <c r="O39" s="61" t="n">
        <v>905374.656</v>
      </c>
      <c r="P39" s="61" t="n"/>
      <c r="Q39" s="36" t="n"/>
      <c r="R39" s="36" t="n">
        <v>905374.656</v>
      </c>
      <c r="S39" s="36" t="n"/>
      <c r="T39" s="36" t="n"/>
      <c r="U39" s="36" t="n"/>
      <c r="V39" s="36" t="n"/>
      <c r="W39" s="36" t="n"/>
      <c r="X39" s="36" t="n"/>
      <c r="Y39" s="61" t="n">
        <v>3518271.84</v>
      </c>
      <c r="Z39" s="61" t="n">
        <v>579000</v>
      </c>
      <c r="AA39" s="61" t="n">
        <v>450000</v>
      </c>
      <c r="AB39" s="61" t="n">
        <v>0</v>
      </c>
      <c r="AC39" s="61" t="n">
        <v>480100</v>
      </c>
      <c r="AD39" s="61" t="n">
        <v>1003200</v>
      </c>
      <c r="AE39" s="61" t="n">
        <v>0</v>
      </c>
      <c r="AF39" s="86" t="n">
        <v>1002000</v>
      </c>
      <c r="AG39" s="66" t="n">
        <v>3971.83999999985</v>
      </c>
      <c r="AH39" s="61" t="n">
        <v>0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/>
      <c r="AN39" s="61" t="n">
        <v>579000</v>
      </c>
      <c r="AO39" s="61" t="n">
        <v>450000</v>
      </c>
      <c r="AP39" s="61" t="n">
        <v>0</v>
      </c>
      <c r="AQ39" s="61" t="n">
        <v>480100</v>
      </c>
      <c r="AR39" s="61" t="n">
        <v>1003200</v>
      </c>
      <c r="AS39" s="61" t="n">
        <v>0</v>
      </c>
      <c r="AT39" s="61" t="n">
        <v>1002000</v>
      </c>
      <c r="AU39" s="61" t="n">
        <v>902400</v>
      </c>
      <c r="AV39" s="61" t="n">
        <v>450500</v>
      </c>
      <c r="AW39" s="61" t="n">
        <v>440600</v>
      </c>
      <c r="AX39" s="61" t="n">
        <v>1248600</v>
      </c>
      <c r="AY39" s="61" t="n">
        <v>427800</v>
      </c>
      <c r="AZ39" s="61" t="n">
        <v>958800</v>
      </c>
      <c r="BA39" s="61" t="inlineStr">
        <is>
          <t>否</t>
        </is>
      </c>
      <c r="BB39" s="61" t="n">
        <v>341400</v>
      </c>
      <c r="BC39" s="61" t="n">
        <v>2661400</v>
      </c>
      <c r="BD39" s="61" t="n">
        <v>0</v>
      </c>
      <c r="BE39" s="36" t="inlineStr">
        <is>
          <t>曹星</t>
        </is>
      </c>
      <c r="BF39" s="61" t="n">
        <v>579000</v>
      </c>
      <c r="BG39" s="61" t="n">
        <v>450000</v>
      </c>
      <c r="BH39" s="61" t="n">
        <v>0</v>
      </c>
      <c r="BI39" s="61" t="n">
        <v>480100</v>
      </c>
      <c r="BJ39" s="61" t="n">
        <v>1003200</v>
      </c>
      <c r="BK39" s="61" t="n">
        <v>0</v>
      </c>
      <c r="BL39" s="61" t="n">
        <v>1005971.84</v>
      </c>
      <c r="BM39" s="36" t="n">
        <v>579000</v>
      </c>
      <c r="BN39" s="36" t="n">
        <v>450000</v>
      </c>
      <c r="BO39" s="36" t="n">
        <v>2661400</v>
      </c>
      <c r="BP39" s="36" t="n">
        <v>341400</v>
      </c>
      <c r="BQ39" s="36" t="n">
        <v>3518271.84</v>
      </c>
      <c r="BR39" s="36" t="n">
        <v>0</v>
      </c>
    </row>
    <row r="40" customFormat="1" s="5">
      <c r="A40" s="34" t="inlineStr">
        <is>
          <t>广州集泰化工股份有限公司</t>
        </is>
      </c>
      <c r="B40" s="35" t="inlineStr">
        <is>
          <t>G130902233</t>
        </is>
      </c>
      <c r="C40" s="36" t="inlineStr">
        <is>
          <t>广西华林化工有限公司</t>
        </is>
      </c>
      <c r="D40" s="36" t="n"/>
      <c r="E40" s="36" t="n">
        <v>0</v>
      </c>
      <c r="F40" s="37" t="n">
        <v>46172</v>
      </c>
      <c r="G40" s="36" t="inlineStr">
        <is>
          <t>彭时莎</t>
        </is>
      </c>
      <c r="H40" s="36" t="n"/>
      <c r="I40" s="44" t="n"/>
      <c r="J40" s="44" t="n">
        <v>0</v>
      </c>
      <c r="K40" s="44" t="n">
        <v>1</v>
      </c>
      <c r="L40" s="44" t="n">
        <v>0</v>
      </c>
      <c r="M40" s="36" t="inlineStr">
        <is>
          <t>电汇</t>
        </is>
      </c>
      <c r="N40" s="36" t="n"/>
      <c r="O40" s="61" t="n"/>
      <c r="P40" s="61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61" t="n">
        <v>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0</v>
      </c>
      <c r="AM40" s="61" t="n"/>
      <c r="AN40" s="61" t="n">
        <v>48000</v>
      </c>
      <c r="AO40" s="61" t="n">
        <v>0</v>
      </c>
      <c r="AP40" s="61" t="n">
        <v>15000</v>
      </c>
      <c r="AQ40" s="61" t="n">
        <v>0</v>
      </c>
      <c r="AR40" s="61" t="n">
        <v>29000</v>
      </c>
      <c r="AS40" s="61" t="n">
        <v>14700</v>
      </c>
      <c r="AT40" s="61" t="n">
        <v>0</v>
      </c>
      <c r="AU40" s="61" t="n">
        <v>0</v>
      </c>
      <c r="AV40" s="61" t="n">
        <v>14700</v>
      </c>
      <c r="AW40" s="61" t="n">
        <v>14700</v>
      </c>
      <c r="AX40" s="61" t="n">
        <v>29400</v>
      </c>
      <c r="AY40" s="61" t="n">
        <v>0</v>
      </c>
      <c r="AZ40" s="61" t="n">
        <v>14700</v>
      </c>
      <c r="BA40" s="61" t="inlineStr">
        <is>
          <t>否</t>
        </is>
      </c>
      <c r="BB40" s="61" t="n">
        <v>48000</v>
      </c>
      <c r="BC40" s="61" t="n">
        <v>63000</v>
      </c>
      <c r="BD40" s="61" t="n">
        <v>0</v>
      </c>
      <c r="BE40" s="36" t="inlineStr">
        <is>
          <t>曹星</t>
        </is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1" t="n">
        <v>0</v>
      </c>
      <c r="BL40" s="61" t="n">
        <v>0</v>
      </c>
      <c r="BM40" s="36" t="n">
        <v>48000</v>
      </c>
      <c r="BN40" s="36" t="n">
        <v>0</v>
      </c>
      <c r="BO40" s="36" t="n">
        <v>63000</v>
      </c>
      <c r="BP40" s="36" t="n">
        <v>48000</v>
      </c>
      <c r="BQ40" s="36" t="n">
        <v>0</v>
      </c>
      <c r="BR40" s="36" t="n">
        <v>0</v>
      </c>
    </row>
    <row r="41" customFormat="1" s="5">
      <c r="A41" s="34" t="inlineStr">
        <is>
          <t>广州集泰化工股份有限公司</t>
        </is>
      </c>
      <c r="B41" s="35" t="inlineStr">
        <is>
          <t>G130902250</t>
        </is>
      </c>
      <c r="C41" s="36" t="inlineStr">
        <is>
          <t>上海如印贸易有限公司广州分公司</t>
        </is>
      </c>
      <c r="D41" s="36" t="n"/>
      <c r="E41" s="36" t="n">
        <v>1</v>
      </c>
      <c r="F41" s="37" t="n">
        <v>46172</v>
      </c>
      <c r="G41" s="36" t="inlineStr">
        <is>
          <t>彭时莎</t>
        </is>
      </c>
      <c r="H41" s="36" t="n"/>
      <c r="I41" s="36" t="inlineStr">
        <is>
          <t>气硅、碳黑</t>
        </is>
      </c>
      <c r="J41" s="36" t="n">
        <v>90</v>
      </c>
      <c r="K41" s="36" t="n">
        <v>120</v>
      </c>
      <c r="L41" s="44" t="n">
        <v>0</v>
      </c>
      <c r="M41" s="36" t="inlineStr">
        <is>
          <t>电汇/银承</t>
        </is>
      </c>
      <c r="N41" s="36" t="n"/>
      <c r="O41" s="61" t="n">
        <v>112856.571</v>
      </c>
      <c r="P41" s="61" t="n"/>
      <c r="Q41" s="36" t="n"/>
      <c r="R41" s="36" t="n">
        <v>112856.571</v>
      </c>
      <c r="S41" s="36" t="n"/>
      <c r="T41" s="36" t="n"/>
      <c r="U41" s="36" t="n"/>
      <c r="V41" s="36" t="n"/>
      <c r="W41" s="36" t="n"/>
      <c r="X41" s="36" t="n"/>
      <c r="Y41" s="61" t="n">
        <v>293396.19</v>
      </c>
      <c r="Z41" s="61" t="n">
        <v>85200</v>
      </c>
      <c r="AA41" s="61" t="n">
        <v>82800</v>
      </c>
      <c r="AB41" s="61" t="n">
        <v>0</v>
      </c>
      <c r="AC41" s="87" t="n">
        <v>125396.19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/>
      <c r="AN41" s="61" t="n">
        <v>85200</v>
      </c>
      <c r="AO41" s="61" t="n">
        <v>82800</v>
      </c>
      <c r="AP41" s="61" t="n">
        <v>0</v>
      </c>
      <c r="AQ41" s="61" t="n">
        <v>125880</v>
      </c>
      <c r="AR41" s="61" t="n">
        <v>82800</v>
      </c>
      <c r="AS41" s="61" t="n">
        <v>0</v>
      </c>
      <c r="AT41" s="61" t="n">
        <v>168480</v>
      </c>
      <c r="AU41" s="61" t="n">
        <v>168480</v>
      </c>
      <c r="AV41" s="61" t="n">
        <v>84480</v>
      </c>
      <c r="AW41" s="61" t="n">
        <v>185280</v>
      </c>
      <c r="AX41" s="61" t="n">
        <v>113570</v>
      </c>
      <c r="AY41" s="61" t="n">
        <v>127680</v>
      </c>
      <c r="AZ41" s="61" t="n">
        <v>127680</v>
      </c>
      <c r="BA41" s="61" t="inlineStr">
        <is>
          <t>否</t>
        </is>
      </c>
      <c r="BB41" s="61" t="n">
        <v>80000</v>
      </c>
      <c r="BC41" s="61" t="n">
        <v>496613.81</v>
      </c>
      <c r="BD41" s="61" t="n">
        <v>0</v>
      </c>
      <c r="BE41" s="36" t="inlineStr">
        <is>
          <t>曹星</t>
        </is>
      </c>
      <c r="BF41" s="61" t="n">
        <v>85200</v>
      </c>
      <c r="BG41" s="61" t="n">
        <v>82800</v>
      </c>
      <c r="BH41" s="61" t="n">
        <v>0</v>
      </c>
      <c r="BI41" s="61" t="n">
        <v>125396.19</v>
      </c>
      <c r="BJ41" s="61" t="n">
        <v>0</v>
      </c>
      <c r="BK41" s="61" t="n">
        <v>0</v>
      </c>
      <c r="BL41" s="61" t="n">
        <v>0</v>
      </c>
      <c r="BM41" s="36" t="n">
        <v>85200</v>
      </c>
      <c r="BN41" s="36" t="n">
        <v>82800</v>
      </c>
      <c r="BO41" s="36" t="n">
        <v>496613.81</v>
      </c>
      <c r="BP41" s="36" t="n">
        <v>80000</v>
      </c>
      <c r="BQ41" s="36" t="n">
        <v>293396.19</v>
      </c>
      <c r="BR41" s="36" t="n">
        <v>0</v>
      </c>
    </row>
    <row r="42" customFormat="1" s="5">
      <c r="A42" s="34" t="inlineStr">
        <is>
          <t>广州集泰化工股份有限公司</t>
        </is>
      </c>
      <c r="B42" s="35" t="inlineStr">
        <is>
          <t>G130902254</t>
        </is>
      </c>
      <c r="C42" s="36" t="inlineStr">
        <is>
          <t>湖北江瀚新材料股份有限公司</t>
        </is>
      </c>
      <c r="D42" s="36" t="n"/>
      <c r="E42" s="36" t="n">
        <v>1</v>
      </c>
      <c r="F42" s="37" t="n">
        <v>46172</v>
      </c>
      <c r="G42" s="36" t="inlineStr">
        <is>
          <t>彭时莎</t>
        </is>
      </c>
      <c r="H42" s="36" t="n"/>
      <c r="I42" s="36" t="inlineStr">
        <is>
          <t>偶联剂</t>
        </is>
      </c>
      <c r="J42" s="36" t="n">
        <v>30</v>
      </c>
      <c r="K42" s="36" t="n">
        <v>60</v>
      </c>
      <c r="L42" s="44" t="n">
        <v>0</v>
      </c>
      <c r="M42" s="36" t="inlineStr">
        <is>
          <t>银承/电汇</t>
        </is>
      </c>
      <c r="N42" s="36" t="n"/>
      <c r="O42" s="61" t="n">
        <v>656234.064</v>
      </c>
      <c r="P42" s="61" t="n"/>
      <c r="Q42" s="36" t="n"/>
      <c r="R42" s="36" t="n">
        <v>656234.064</v>
      </c>
      <c r="S42" s="36" t="n"/>
      <c r="T42" s="36" t="n"/>
      <c r="U42" s="36" t="n"/>
      <c r="V42" s="36" t="n"/>
      <c r="W42" s="36" t="n"/>
      <c r="X42" s="36" t="n"/>
      <c r="Y42" s="61" t="n">
        <v>1160148.96</v>
      </c>
      <c r="Z42" s="61" t="n">
        <v>431000</v>
      </c>
      <c r="AA42" s="67" t="n">
        <v>729148.96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0</v>
      </c>
      <c r="AK42" s="61" t="n">
        <v>0</v>
      </c>
      <c r="AL42" s="61" t="n">
        <v>0</v>
      </c>
      <c r="AM42" s="61" t="n"/>
      <c r="AN42" s="61" t="n">
        <v>431000</v>
      </c>
      <c r="AO42" s="61" t="n">
        <v>733450</v>
      </c>
      <c r="AP42" s="61" t="n">
        <v>50000</v>
      </c>
      <c r="AQ42" s="61" t="n">
        <v>157500</v>
      </c>
      <c r="AR42" s="61" t="n">
        <v>94000</v>
      </c>
      <c r="AS42" s="61" t="n">
        <v>177500</v>
      </c>
      <c r="AT42" s="61" t="n">
        <v>60650</v>
      </c>
      <c r="AU42" s="61" t="n">
        <v>137300</v>
      </c>
      <c r="AV42" s="61" t="n">
        <v>250750</v>
      </c>
      <c r="AW42" s="61" t="n">
        <v>100750</v>
      </c>
      <c r="AX42" s="61" t="n">
        <v>377750</v>
      </c>
      <c r="AY42" s="61" t="n">
        <v>112450</v>
      </c>
      <c r="AZ42" s="61" t="n">
        <v>91000</v>
      </c>
      <c r="BA42" s="61" t="inlineStr">
        <is>
          <t>否</t>
        </is>
      </c>
      <c r="BB42" s="61" t="n">
        <v>210000</v>
      </c>
      <c r="BC42" s="61" t="n">
        <v>530000</v>
      </c>
      <c r="BD42" s="61" t="n">
        <v>0</v>
      </c>
      <c r="BE42" s="36" t="inlineStr">
        <is>
          <t>曹星</t>
        </is>
      </c>
      <c r="BF42" s="61" t="n">
        <v>431000</v>
      </c>
      <c r="BG42" s="61" t="n">
        <v>729148.96</v>
      </c>
      <c r="BH42" s="61" t="n">
        <v>0</v>
      </c>
      <c r="BI42" s="61" t="n">
        <v>0</v>
      </c>
      <c r="BJ42" s="61" t="n">
        <v>0</v>
      </c>
      <c r="BK42" s="61" t="n">
        <v>0</v>
      </c>
      <c r="BL42" s="61" t="n">
        <v>0</v>
      </c>
      <c r="BM42" s="36" t="n">
        <v>431000</v>
      </c>
      <c r="BN42" s="36" t="n">
        <v>733450</v>
      </c>
      <c r="BO42" s="36" t="n">
        <v>530000</v>
      </c>
      <c r="BP42" s="36" t="n">
        <v>210000</v>
      </c>
      <c r="BQ42" s="36" t="n">
        <v>1160148.96</v>
      </c>
      <c r="BR42" s="36" t="n">
        <v>0</v>
      </c>
    </row>
    <row r="43" customFormat="1" s="5">
      <c r="A43" s="34" t="inlineStr">
        <is>
          <t>广州集泰化工股份有限公司</t>
        </is>
      </c>
      <c r="B43" s="35" t="inlineStr">
        <is>
          <t>G130902258</t>
        </is>
      </c>
      <c r="C43" s="36" t="inlineStr">
        <is>
          <t>立合安新材料(南京)有限公司</t>
        </is>
      </c>
      <c r="D43" s="36" t="n"/>
      <c r="E43" s="36" t="n">
        <v>2</v>
      </c>
      <c r="F43" s="37" t="n">
        <v>46172</v>
      </c>
      <c r="G43" s="36" t="inlineStr">
        <is>
          <t>彭时莎</t>
        </is>
      </c>
      <c r="H43" s="36" t="n"/>
      <c r="I43" s="36" t="inlineStr">
        <is>
          <t>增塑剂</t>
        </is>
      </c>
      <c r="J43" s="36" t="n">
        <v>60</v>
      </c>
      <c r="K43" s="36" t="n">
        <v>90</v>
      </c>
      <c r="L43" s="44" t="n">
        <v>0</v>
      </c>
      <c r="M43" s="36" t="inlineStr">
        <is>
          <t>电汇</t>
        </is>
      </c>
      <c r="N43" s="36" t="n"/>
      <c r="O43" s="61" t="n"/>
      <c r="P43" s="61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61" t="n">
        <v>984384</v>
      </c>
      <c r="Z43" s="61" t="n">
        <v>360120</v>
      </c>
      <c r="AA43" s="61" t="n">
        <v>624264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/>
      <c r="AN43" s="61" t="n">
        <v>360120</v>
      </c>
      <c r="AO43" s="61" t="n">
        <v>624264</v>
      </c>
      <c r="AP43" s="61" t="n">
        <v>0</v>
      </c>
      <c r="AQ43" s="61" t="n">
        <v>0</v>
      </c>
      <c r="AR43" s="61" t="n">
        <v>247394</v>
      </c>
      <c r="AS43" s="61" t="n">
        <v>0</v>
      </c>
      <c r="AT43" s="61" t="n">
        <v>0</v>
      </c>
      <c r="AU43" s="61" t="n">
        <v>0</v>
      </c>
      <c r="AV43" s="61" t="n">
        <v>0</v>
      </c>
      <c r="AW43" s="61" t="n">
        <v>280219.5</v>
      </c>
      <c r="AX43" s="61" t="n">
        <v>839064</v>
      </c>
      <c r="AY43" s="61" t="n">
        <v>296010</v>
      </c>
      <c r="AZ43" s="61" t="n">
        <v>0</v>
      </c>
      <c r="BA43" s="61" t="inlineStr">
        <is>
          <t>否</t>
        </is>
      </c>
      <c r="BB43" s="61" t="n">
        <v>241705</v>
      </c>
      <c r="BC43" s="61" t="n">
        <v>701705</v>
      </c>
      <c r="BD43" s="61" t="n">
        <v>0</v>
      </c>
      <c r="BE43" s="36" t="inlineStr">
        <is>
          <t>曹星</t>
        </is>
      </c>
      <c r="BF43" s="61" t="n">
        <v>360120</v>
      </c>
      <c r="BG43" s="61" t="n">
        <v>624264</v>
      </c>
      <c r="BH43" s="61" t="n">
        <v>0</v>
      </c>
      <c r="BI43" s="61" t="n">
        <v>0</v>
      </c>
      <c r="BJ43" s="61" t="n">
        <v>0</v>
      </c>
      <c r="BK43" s="61" t="n">
        <v>0</v>
      </c>
      <c r="BL43" s="61" t="n">
        <v>0</v>
      </c>
      <c r="BM43" s="36" t="n">
        <v>360120</v>
      </c>
      <c r="BN43" s="36" t="n">
        <v>624264</v>
      </c>
      <c r="BO43" s="36" t="n">
        <v>701705</v>
      </c>
      <c r="BP43" s="36" t="n">
        <v>241705</v>
      </c>
      <c r="BQ43" s="36" t="n">
        <v>984384</v>
      </c>
      <c r="BR43" s="36" t="n">
        <v>0</v>
      </c>
    </row>
    <row r="44" customFormat="1" s="5">
      <c r="A44" s="34" t="inlineStr">
        <is>
          <t>广州集泰化工股份有限公司</t>
        </is>
      </c>
      <c r="B44" s="35" t="inlineStr">
        <is>
          <t>G130902266</t>
        </is>
      </c>
      <c r="C44" s="43" t="inlineStr">
        <is>
          <t>山东桑莱斯新材料有限公司</t>
        </is>
      </c>
      <c r="D44" s="36" t="n"/>
      <c r="E44" s="36" t="n">
        <v>0</v>
      </c>
      <c r="F44" s="37" t="n">
        <v>46157</v>
      </c>
      <c r="G44" s="36" t="inlineStr">
        <is>
          <t>彭时莎</t>
        </is>
      </c>
      <c r="H44" s="36" t="n"/>
      <c r="I44" s="36" t="inlineStr">
        <is>
          <t>发泡剂</t>
        </is>
      </c>
      <c r="J44" s="36" t="n">
        <v>30</v>
      </c>
      <c r="K44" s="36" t="n">
        <v>30</v>
      </c>
      <c r="L44" s="36" t="n">
        <v>1000000</v>
      </c>
      <c r="M44" s="36" t="inlineStr">
        <is>
          <t>银承/电汇</t>
        </is>
      </c>
      <c r="N44" s="36" t="n"/>
      <c r="O44" s="61" t="n">
        <v>517877.79</v>
      </c>
      <c r="P44" s="61" t="n"/>
      <c r="Q44" s="36" t="n"/>
      <c r="R44" s="36" t="n">
        <v>517877.79</v>
      </c>
      <c r="S44" s="36" t="n"/>
      <c r="T44" s="36" t="n"/>
      <c r="U44" s="36" t="n"/>
      <c r="V44" s="36" t="n"/>
      <c r="W44" s="36" t="n"/>
      <c r="X44" s="36" t="n"/>
      <c r="Y44" s="61" t="n">
        <v>517877.79</v>
      </c>
      <c r="Z44" s="66" t="n">
        <v>517877.79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0</v>
      </c>
      <c r="AK44" s="61" t="n">
        <v>0</v>
      </c>
      <c r="AL44" s="61" t="n">
        <v>0</v>
      </c>
      <c r="AM44" s="61" t="n"/>
      <c r="AN44" s="61" t="n">
        <v>652532.2</v>
      </c>
      <c r="AO44" s="61" t="n">
        <v>506329.1</v>
      </c>
      <c r="AP44" s="61" t="n">
        <v>160554</v>
      </c>
      <c r="AQ44" s="61" t="n">
        <v>0</v>
      </c>
      <c r="AR44" s="61" t="n">
        <v>154552.5</v>
      </c>
      <c r="AS44" s="61" t="n">
        <v>430157.8</v>
      </c>
      <c r="AT44" s="61" t="n">
        <v>685509.4</v>
      </c>
      <c r="AU44" s="61" t="n">
        <v>727128.6</v>
      </c>
      <c r="AV44" s="61" t="n">
        <v>1312041.7</v>
      </c>
      <c r="AW44" s="61" t="n">
        <v>0</v>
      </c>
      <c r="AX44" s="61" t="n">
        <v>522024.5</v>
      </c>
      <c r="AY44" s="61" t="n">
        <v>1023459.8</v>
      </c>
      <c r="AZ44" s="61" t="n">
        <v>845899.4</v>
      </c>
      <c r="BA44" s="61" t="inlineStr">
        <is>
          <t>否</t>
        </is>
      </c>
      <c r="BB44" s="61" t="n">
        <v>1153413.84</v>
      </c>
      <c r="BC44" s="61" t="n">
        <v>1153413.84</v>
      </c>
      <c r="BD44" s="61" t="n">
        <v>827820.7</v>
      </c>
      <c r="BE44" s="36" t="inlineStr">
        <is>
          <t>曹星</t>
        </is>
      </c>
      <c r="BF44" s="61" t="n">
        <v>517877.79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>
        <v>0</v>
      </c>
      <c r="BL44" s="61" t="n">
        <v>0</v>
      </c>
      <c r="BM44" s="36" t="n">
        <v>652532.2</v>
      </c>
      <c r="BN44" s="36" t="n">
        <v>506329.1</v>
      </c>
      <c r="BO44" s="36" t="n">
        <v>1153413.84</v>
      </c>
      <c r="BP44" s="36" t="n">
        <v>1153413.84</v>
      </c>
      <c r="BQ44" s="36" t="n">
        <v>517877.79</v>
      </c>
      <c r="BR44" s="36" t="n">
        <v>827820.7</v>
      </c>
    </row>
    <row r="45" customFormat="1" s="5">
      <c r="A45" s="34" t="inlineStr">
        <is>
          <t>广州集泰化工股份有限公司</t>
        </is>
      </c>
      <c r="B45" s="35" t="inlineStr">
        <is>
          <t>G130902269</t>
        </is>
      </c>
      <c r="C45" s="36" t="inlineStr">
        <is>
          <t>广州市益瑞新材料有限公司</t>
        </is>
      </c>
      <c r="D45" s="36" t="n"/>
      <c r="E45" s="36" t="n">
        <v>2</v>
      </c>
      <c r="F45" s="37" t="n">
        <v>46172</v>
      </c>
      <c r="G45" s="36" t="inlineStr">
        <is>
          <t>彭时莎</t>
        </is>
      </c>
      <c r="H45" s="36" t="n"/>
      <c r="I45" s="36" t="inlineStr">
        <is>
          <t>碳黑、流平剂</t>
        </is>
      </c>
      <c r="J45" s="36" t="n">
        <v>90</v>
      </c>
      <c r="K45" s="36" t="n">
        <v>90</v>
      </c>
      <c r="L45" s="44" t="n">
        <v>0</v>
      </c>
      <c r="M45" s="36" t="inlineStr">
        <is>
          <t>大银行承兑/电汇</t>
        </is>
      </c>
      <c r="N45" s="36" t="n"/>
      <c r="O45" s="61" t="n">
        <v>383018.571</v>
      </c>
      <c r="P45" s="61" t="n"/>
      <c r="Q45" s="36" t="n"/>
      <c r="R45" s="36" t="n"/>
      <c r="S45" s="36" t="n">
        <v>383018.571</v>
      </c>
      <c r="T45" s="36" t="n"/>
      <c r="U45" s="36" t="n"/>
      <c r="V45" s="36" t="n"/>
      <c r="W45" s="36" t="n"/>
      <c r="X45" s="36" t="n"/>
      <c r="Y45" s="61" t="n">
        <v>544076.1899999999</v>
      </c>
      <c r="Z45" s="61" t="n">
        <v>108000</v>
      </c>
      <c r="AA45" s="61" t="n">
        <v>10500</v>
      </c>
      <c r="AB45" s="88" t="n">
        <v>93600</v>
      </c>
      <c r="AC45" s="66" t="n">
        <v>114600</v>
      </c>
      <c r="AD45" s="66" t="n">
        <v>217376.19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/>
      <c r="AN45" s="61" t="n">
        <v>108000</v>
      </c>
      <c r="AO45" s="61" t="n">
        <v>10500</v>
      </c>
      <c r="AP45" s="61" t="n">
        <v>93600</v>
      </c>
      <c r="AQ45" s="61" t="n">
        <v>114600</v>
      </c>
      <c r="AR45" s="61" t="n">
        <v>217510</v>
      </c>
      <c r="AS45" s="61" t="n">
        <v>10500</v>
      </c>
      <c r="AT45" s="61" t="n">
        <v>124160</v>
      </c>
      <c r="AU45" s="61" t="n">
        <v>291300</v>
      </c>
      <c r="AV45" s="61" t="n">
        <v>10500</v>
      </c>
      <c r="AW45" s="61" t="n">
        <v>200300</v>
      </c>
      <c r="AX45" s="61" t="n">
        <v>10500</v>
      </c>
      <c r="AY45" s="61" t="n">
        <v>105400</v>
      </c>
      <c r="AZ45" s="61" t="n">
        <v>67510</v>
      </c>
      <c r="BA45" s="61" t="inlineStr">
        <is>
          <t>否</t>
        </is>
      </c>
      <c r="BB45" s="61" t="n">
        <v>134000</v>
      </c>
      <c r="BC45" s="61" t="n">
        <v>435000</v>
      </c>
      <c r="BD45" s="61" t="n">
        <v>0</v>
      </c>
      <c r="BE45" s="36" t="inlineStr">
        <is>
          <t>曹星</t>
        </is>
      </c>
      <c r="BF45" s="61" t="n">
        <v>108000</v>
      </c>
      <c r="BG45" s="61" t="n">
        <v>10500</v>
      </c>
      <c r="BH45" s="61" t="n">
        <v>93600</v>
      </c>
      <c r="BI45" s="61" t="n">
        <v>114600</v>
      </c>
      <c r="BJ45" s="61" t="n">
        <v>217376.19</v>
      </c>
      <c r="BK45" s="61" t="n">
        <v>0</v>
      </c>
      <c r="BL45" s="61" t="n">
        <v>0</v>
      </c>
      <c r="BM45" s="36" t="n">
        <v>108000</v>
      </c>
      <c r="BN45" s="36" t="n">
        <v>10500</v>
      </c>
      <c r="BO45" s="36" t="n">
        <v>435000</v>
      </c>
      <c r="BP45" s="36" t="n">
        <v>134000</v>
      </c>
      <c r="BQ45" s="36" t="n">
        <v>544076.1899999999</v>
      </c>
      <c r="BR45" s="36" t="n">
        <v>0</v>
      </c>
    </row>
    <row r="46" customFormat="1" s="5">
      <c r="A46" s="34" t="inlineStr">
        <is>
          <t>广州集泰化工股份有限公司</t>
        </is>
      </c>
      <c r="B46" s="35" t="inlineStr">
        <is>
          <t>G130902271</t>
        </is>
      </c>
      <c r="C46" s="36" t="inlineStr">
        <is>
          <t>上海创彩实业有限公司</t>
        </is>
      </c>
      <c r="D46" s="36" t="n"/>
      <c r="E46" s="36" t="n">
        <v>2</v>
      </c>
      <c r="F46" s="37" t="n">
        <v>46172</v>
      </c>
      <c r="G46" s="36" t="inlineStr">
        <is>
          <t>彭时莎</t>
        </is>
      </c>
      <c r="H46" s="36" t="n"/>
      <c r="I46" s="36" t="inlineStr">
        <is>
          <t>增塑剂</t>
        </is>
      </c>
      <c r="J46" s="36" t="n">
        <v>60</v>
      </c>
      <c r="K46" s="36" t="n">
        <v>90</v>
      </c>
      <c r="L46" s="44" t="n">
        <v>0</v>
      </c>
      <c r="M46" s="36" t="inlineStr">
        <is>
          <t>电汇</t>
        </is>
      </c>
      <c r="N46" s="36" t="n"/>
      <c r="O46" s="61" t="n">
        <v>194109.399</v>
      </c>
      <c r="P46" s="61" t="n"/>
      <c r="Q46" s="36" t="n"/>
      <c r="R46" s="36" t="n"/>
      <c r="S46" s="36" t="n">
        <v>194109.399</v>
      </c>
      <c r="T46" s="36" t="n"/>
      <c r="U46" s="36" t="n"/>
      <c r="V46" s="36" t="n"/>
      <c r="W46" s="36" t="n"/>
      <c r="X46" s="36" t="n"/>
      <c r="Y46" s="61" t="n">
        <v>215677.11</v>
      </c>
      <c r="Z46" s="61" t="n">
        <v>0</v>
      </c>
      <c r="AA46" s="61" t="n">
        <v>0</v>
      </c>
      <c r="AB46" s="89" t="n">
        <v>107520</v>
      </c>
      <c r="AC46" s="66" t="n">
        <v>26880</v>
      </c>
      <c r="AD46" s="66" t="n">
        <v>53760</v>
      </c>
      <c r="AE46" s="66" t="n">
        <v>26880</v>
      </c>
      <c r="AF46" s="61" t="n">
        <v>0</v>
      </c>
      <c r="AG46" s="66" t="n">
        <v>637.109999999986</v>
      </c>
      <c r="AH46" s="61" t="n">
        <v>0</v>
      </c>
      <c r="AI46" s="61" t="n">
        <v>0</v>
      </c>
      <c r="AJ46" s="61" t="n">
        <v>0</v>
      </c>
      <c r="AK46" s="61" t="n">
        <v>0</v>
      </c>
      <c r="AL46" s="61" t="n">
        <v>0</v>
      </c>
      <c r="AM46" s="61" t="n"/>
      <c r="AN46" s="61" t="n">
        <v>0</v>
      </c>
      <c r="AO46" s="61" t="n">
        <v>0</v>
      </c>
      <c r="AP46" s="61" t="n">
        <v>107520</v>
      </c>
      <c r="AQ46" s="61" t="n">
        <v>26880</v>
      </c>
      <c r="AR46" s="61" t="n">
        <v>53760</v>
      </c>
      <c r="AS46" s="61" t="n">
        <v>26880</v>
      </c>
      <c r="AT46" s="61" t="n">
        <v>0</v>
      </c>
      <c r="AU46" s="61" t="n">
        <v>26880</v>
      </c>
      <c r="AV46" s="61" t="n">
        <v>26880</v>
      </c>
      <c r="AW46" s="61" t="n">
        <v>0</v>
      </c>
      <c r="AX46" s="61" t="n">
        <v>26880</v>
      </c>
      <c r="AY46" s="61" t="n">
        <v>0</v>
      </c>
      <c r="AZ46" s="61" t="n">
        <v>59060</v>
      </c>
      <c r="BA46" s="61" t="inlineStr">
        <is>
          <t>否</t>
        </is>
      </c>
      <c r="BB46" s="61" t="n">
        <v>0</v>
      </c>
      <c r="BC46" s="61" t="n">
        <v>53122.89</v>
      </c>
      <c r="BD46" s="61" t="n">
        <v>0</v>
      </c>
      <c r="BE46" s="36" t="inlineStr">
        <is>
          <t>曹星</t>
        </is>
      </c>
      <c r="BF46" s="61" t="n">
        <v>0</v>
      </c>
      <c r="BG46" s="61" t="n">
        <v>0</v>
      </c>
      <c r="BH46" s="61" t="n">
        <v>107520</v>
      </c>
      <c r="BI46" s="61" t="n">
        <v>26880</v>
      </c>
      <c r="BJ46" s="61" t="n">
        <v>53760</v>
      </c>
      <c r="BK46" s="61" t="n">
        <v>26880</v>
      </c>
      <c r="BL46" s="61" t="n">
        <v>637.109999999986</v>
      </c>
      <c r="BM46" s="36" t="n">
        <v>0</v>
      </c>
      <c r="BN46" s="36" t="n">
        <v>0</v>
      </c>
      <c r="BO46" s="36" t="n">
        <v>53122.89</v>
      </c>
      <c r="BP46" s="36" t="n">
        <v>0</v>
      </c>
      <c r="BQ46" s="36" t="n">
        <v>215677.11</v>
      </c>
      <c r="BR46" s="36" t="n">
        <v>0</v>
      </c>
    </row>
    <row r="47" customFormat="1" s="5">
      <c r="A47" s="34" t="inlineStr">
        <is>
          <t>广州集泰化工股份有限公司</t>
        </is>
      </c>
      <c r="B47" s="35" t="inlineStr">
        <is>
          <t>G130902272</t>
        </is>
      </c>
      <c r="C47" s="36" t="inlineStr">
        <is>
          <t>东莞市宏泰基阻燃材料有限公司</t>
        </is>
      </c>
      <c r="D47" s="36" t="n"/>
      <c r="E47" s="36" t="n">
        <v>0</v>
      </c>
      <c r="F47" s="37" t="n">
        <v>46172</v>
      </c>
      <c r="G47" s="36" t="inlineStr">
        <is>
          <t>彭时莎</t>
        </is>
      </c>
      <c r="H47" s="36" t="n"/>
      <c r="I47" s="36" t="inlineStr">
        <is>
          <t>阻燃剂</t>
        </is>
      </c>
      <c r="J47" s="36" t="n">
        <v>30</v>
      </c>
      <c r="K47" s="36" t="n">
        <v>60</v>
      </c>
      <c r="L47" s="44" t="n">
        <v>0</v>
      </c>
      <c r="M47" s="36" t="inlineStr">
        <is>
          <t>电汇</t>
        </is>
      </c>
      <c r="N47" s="36" t="n"/>
      <c r="O47" s="61" t="n"/>
      <c r="P47" s="61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1" t="n">
        <v>0</v>
      </c>
      <c r="AH47" s="61" t="n">
        <v>0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/>
      <c r="AN47" s="61" t="n">
        <v>0</v>
      </c>
      <c r="AO47" s="61" t="n">
        <v>0</v>
      </c>
      <c r="AP47" s="61" t="n">
        <v>0</v>
      </c>
      <c r="AQ47" s="61" t="n">
        <v>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inlineStr">
        <is>
          <t>否</t>
        </is>
      </c>
      <c r="BB47" s="61" t="n">
        <v>0</v>
      </c>
      <c r="BC47" s="61" t="n">
        <v>0</v>
      </c>
      <c r="BD47" s="61" t="n">
        <v>520</v>
      </c>
      <c r="BE47" s="36" t="inlineStr">
        <is>
          <t>曹星</t>
        </is>
      </c>
      <c r="BF47" s="61" t="n">
        <v>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>
        <v>0</v>
      </c>
      <c r="BL47" s="61" t="n">
        <v>0</v>
      </c>
      <c r="BM47" s="36" t="n">
        <v>0</v>
      </c>
      <c r="BN47" s="36" t="n">
        <v>0</v>
      </c>
      <c r="BO47" s="36" t="n">
        <v>0</v>
      </c>
      <c r="BP47" s="36" t="n">
        <v>0</v>
      </c>
      <c r="BQ47" s="36" t="n">
        <v>0</v>
      </c>
      <c r="BR47" s="36" t="n">
        <v>520</v>
      </c>
    </row>
    <row r="48" customFormat="1" s="5">
      <c r="A48" s="34" t="inlineStr">
        <is>
          <t>广州集泰化工股份有限公司</t>
        </is>
      </c>
      <c r="B48" s="35" t="inlineStr">
        <is>
          <t>G130902285</t>
        </is>
      </c>
      <c r="C48" s="36" t="inlineStr">
        <is>
          <t>上海迈肯生物科技有限公司</t>
        </is>
      </c>
      <c r="D48" s="36" t="n"/>
      <c r="E48" s="36" t="n">
        <v>2</v>
      </c>
      <c r="F48" s="37" t="n">
        <v>46172</v>
      </c>
      <c r="G48" s="36" t="inlineStr">
        <is>
          <t>彭时莎</t>
        </is>
      </c>
      <c r="H48" s="36" t="n"/>
      <c r="I48" s="44" t="n"/>
      <c r="J48" s="36" t="n">
        <v>30</v>
      </c>
      <c r="K48" s="36" t="n">
        <v>30</v>
      </c>
      <c r="L48" s="44" t="n">
        <v>0</v>
      </c>
      <c r="M48" s="36" t="inlineStr">
        <is>
          <t>电汇</t>
        </is>
      </c>
      <c r="N48" s="36" t="n"/>
      <c r="O48" s="61" t="n">
        <v>13725</v>
      </c>
      <c r="P48" s="61" t="n"/>
      <c r="Q48" s="36" t="n"/>
      <c r="R48" s="36" t="n"/>
      <c r="S48" s="36" t="n"/>
      <c r="T48" s="36" t="n"/>
      <c r="U48" s="36" t="n"/>
      <c r="V48" s="36" t="n"/>
      <c r="W48" s="36" t="n">
        <v>13725</v>
      </c>
      <c r="X48" s="36" t="n"/>
      <c r="Y48" s="61" t="n">
        <v>15250</v>
      </c>
      <c r="Z48" s="61" t="n">
        <v>0</v>
      </c>
      <c r="AA48" s="67" t="n">
        <v>15250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/>
      <c r="AN48" s="61" t="n">
        <v>0</v>
      </c>
      <c r="AO48" s="61" t="n">
        <v>15250</v>
      </c>
      <c r="AP48" s="61" t="n">
        <v>0</v>
      </c>
      <c r="AQ48" s="61" t="n">
        <v>7625</v>
      </c>
      <c r="AR48" s="61" t="n">
        <v>0</v>
      </c>
      <c r="AS48" s="61" t="n">
        <v>26825</v>
      </c>
      <c r="AT48" s="61" t="n">
        <v>0</v>
      </c>
      <c r="AU48" s="61" t="n">
        <v>0</v>
      </c>
      <c r="AV48" s="61" t="n">
        <v>7625</v>
      </c>
      <c r="AW48" s="61" t="n">
        <v>7625</v>
      </c>
      <c r="AX48" s="61" t="n">
        <v>0</v>
      </c>
      <c r="AY48" s="61" t="n">
        <v>7625</v>
      </c>
      <c r="AZ48" s="61" t="n">
        <v>7625</v>
      </c>
      <c r="BA48" s="61" t="inlineStr">
        <is>
          <t>否</t>
        </is>
      </c>
      <c r="BB48" s="61" t="n">
        <v>7625</v>
      </c>
      <c r="BC48" s="61" t="n">
        <v>26825</v>
      </c>
      <c r="BD48" s="61" t="n">
        <v>0</v>
      </c>
      <c r="BE48" s="36" t="inlineStr">
        <is>
          <t>曹星</t>
        </is>
      </c>
      <c r="BF48" s="61" t="n">
        <v>0</v>
      </c>
      <c r="BG48" s="61" t="n">
        <v>15250</v>
      </c>
      <c r="BH48" s="61" t="n">
        <v>0</v>
      </c>
      <c r="BI48" s="61" t="n">
        <v>0</v>
      </c>
      <c r="BJ48" s="61" t="n">
        <v>0</v>
      </c>
      <c r="BK48" s="61" t="n">
        <v>0</v>
      </c>
      <c r="BL48" s="61" t="n">
        <v>0</v>
      </c>
      <c r="BM48" s="36" t="n">
        <v>0</v>
      </c>
      <c r="BN48" s="36" t="n">
        <v>15250</v>
      </c>
      <c r="BO48" s="36" t="n">
        <v>26825</v>
      </c>
      <c r="BP48" s="36" t="n">
        <v>7625</v>
      </c>
      <c r="BQ48" s="36" t="n">
        <v>15250</v>
      </c>
      <c r="BR48" s="36" t="n">
        <v>0</v>
      </c>
    </row>
    <row r="49" customFormat="1" s="5">
      <c r="A49" s="34" t="inlineStr">
        <is>
          <t>广州集泰化工股份有限公司</t>
        </is>
      </c>
      <c r="B49" s="35" t="inlineStr">
        <is>
          <t>G130902293</t>
        </is>
      </c>
      <c r="C49" s="36" t="inlineStr">
        <is>
          <t>佛山市南海双维水性材料有限公司</t>
        </is>
      </c>
      <c r="D49" s="36" t="n"/>
      <c r="E49" s="36" t="n">
        <v>1</v>
      </c>
      <c r="F49" s="37" t="n">
        <v>46172</v>
      </c>
      <c r="G49" s="36" t="inlineStr">
        <is>
          <t>彭时莎</t>
        </is>
      </c>
      <c r="H49" s="36" t="n"/>
      <c r="I49" s="36" t="inlineStr">
        <is>
          <t>乳液</t>
        </is>
      </c>
      <c r="J49" s="36" t="n">
        <v>180</v>
      </c>
      <c r="K49" s="36" t="n">
        <v>180</v>
      </c>
      <c r="L49" s="44" t="n">
        <v>0</v>
      </c>
      <c r="M49" s="36" t="inlineStr">
        <is>
          <t>电汇/银承</t>
        </is>
      </c>
      <c r="N49" s="36" t="n"/>
      <c r="O49" s="61" t="n"/>
      <c r="P49" s="61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61" t="n">
        <v>745500</v>
      </c>
      <c r="Z49" s="61" t="n">
        <v>233000</v>
      </c>
      <c r="AA49" s="61" t="n">
        <v>345000</v>
      </c>
      <c r="AB49" s="61" t="n">
        <v>115000</v>
      </c>
      <c r="AC49" s="61" t="n">
        <v>52500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/>
      <c r="AN49" s="61" t="n">
        <v>233000</v>
      </c>
      <c r="AO49" s="61" t="n">
        <v>345000</v>
      </c>
      <c r="AP49" s="61" t="n">
        <v>115000</v>
      </c>
      <c r="AQ49" s="61" t="n">
        <v>57500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195000</v>
      </c>
      <c r="AX49" s="61" t="n">
        <v>260000</v>
      </c>
      <c r="AY49" s="61" t="n">
        <v>260000</v>
      </c>
      <c r="AZ49" s="61" t="n">
        <v>130000</v>
      </c>
      <c r="BA49" s="61" t="inlineStr">
        <is>
          <t>否</t>
        </is>
      </c>
      <c r="BB49" s="61" t="n">
        <v>200000</v>
      </c>
      <c r="BC49" s="61" t="n">
        <v>460000</v>
      </c>
      <c r="BD49" s="61" t="n">
        <v>0</v>
      </c>
      <c r="BE49" s="36" t="inlineStr">
        <is>
          <t>曹星</t>
        </is>
      </c>
      <c r="BF49" s="61" t="n">
        <v>233000</v>
      </c>
      <c r="BG49" s="61" t="n">
        <v>345000</v>
      </c>
      <c r="BH49" s="61" t="n">
        <v>115000</v>
      </c>
      <c r="BI49" s="61" t="n">
        <v>52500</v>
      </c>
      <c r="BJ49" s="61" t="n">
        <v>0</v>
      </c>
      <c r="BK49" s="61" t="n">
        <v>0</v>
      </c>
      <c r="BL49" s="61" t="n">
        <v>0</v>
      </c>
      <c r="BM49" s="36" t="n">
        <v>233000</v>
      </c>
      <c r="BN49" s="36" t="n">
        <v>345000</v>
      </c>
      <c r="BO49" s="36" t="n">
        <v>460000</v>
      </c>
      <c r="BP49" s="36" t="n">
        <v>200000</v>
      </c>
      <c r="BQ49" s="36" t="n">
        <v>745500</v>
      </c>
      <c r="BR49" s="36" t="n">
        <v>0</v>
      </c>
    </row>
    <row r="50" customFormat="1" s="5">
      <c r="A50" s="34" t="inlineStr">
        <is>
          <t>广州集泰化工股份有限公司</t>
        </is>
      </c>
      <c r="B50" s="35" t="inlineStr">
        <is>
          <t>G130902304</t>
        </is>
      </c>
      <c r="C50" s="36" t="inlineStr">
        <is>
          <t>珠海同舟新材料有限公司</t>
        </is>
      </c>
      <c r="D50" s="36" t="n"/>
      <c r="E50" s="36" t="n">
        <v>2</v>
      </c>
      <c r="F50" s="37" t="n">
        <v>46172</v>
      </c>
      <c r="G50" s="36" t="inlineStr">
        <is>
          <t>曹星</t>
        </is>
      </c>
      <c r="H50" s="36" t="n"/>
      <c r="I50" s="44" t="n"/>
      <c r="J50" s="36" t="n">
        <v>30</v>
      </c>
      <c r="K50" s="36" t="n">
        <v>90</v>
      </c>
      <c r="L50" s="44" t="n">
        <v>0</v>
      </c>
      <c r="M50" s="36" t="inlineStr">
        <is>
          <t>电汇</t>
        </is>
      </c>
      <c r="N50" s="36" t="n"/>
      <c r="O50" s="61" t="n">
        <v>79789.13099999999</v>
      </c>
      <c r="P50" s="61" t="n"/>
      <c r="Q50" s="36" t="n"/>
      <c r="R50" s="36" t="n"/>
      <c r="S50" s="36" t="n">
        <v>79789.13099999999</v>
      </c>
      <c r="T50" s="36" t="n"/>
      <c r="U50" s="36" t="n"/>
      <c r="V50" s="36" t="n"/>
      <c r="W50" s="36" t="n"/>
      <c r="X50" s="36" t="n"/>
      <c r="Y50" s="61" t="n">
        <v>192454.59</v>
      </c>
      <c r="Z50" s="61" t="n">
        <v>103800</v>
      </c>
      <c r="AA50" s="61" t="n">
        <v>0</v>
      </c>
      <c r="AB50" s="90" t="n">
        <v>20700</v>
      </c>
      <c r="AC50" s="66" t="n">
        <v>19650</v>
      </c>
      <c r="AD50" s="66" t="n">
        <v>18600</v>
      </c>
      <c r="AE50" s="61" t="n">
        <v>0</v>
      </c>
      <c r="AF50" s="66" t="n">
        <v>29704.59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/>
      <c r="AN50" s="61" t="n">
        <v>103800</v>
      </c>
      <c r="AO50" s="61" t="n">
        <v>0</v>
      </c>
      <c r="AP50" s="61" t="n">
        <v>20700</v>
      </c>
      <c r="AQ50" s="61" t="n">
        <v>19650</v>
      </c>
      <c r="AR50" s="61" t="n">
        <v>18600</v>
      </c>
      <c r="AS50" s="61" t="n">
        <v>0</v>
      </c>
      <c r="AT50" s="61" t="n">
        <v>63700</v>
      </c>
      <c r="AU50" s="61" t="n">
        <v>36750</v>
      </c>
      <c r="AV50" s="61" t="n">
        <v>0</v>
      </c>
      <c r="AW50" s="61" t="n">
        <v>24700</v>
      </c>
      <c r="AX50" s="61" t="n">
        <v>0</v>
      </c>
      <c r="AY50" s="61" t="n">
        <v>8200</v>
      </c>
      <c r="AZ50" s="61" t="n">
        <v>0</v>
      </c>
      <c r="BA50" s="61" t="inlineStr">
        <is>
          <t>否</t>
        </is>
      </c>
      <c r="BB50" s="61" t="n">
        <v>0</v>
      </c>
      <c r="BC50" s="61" t="n">
        <v>95445.41</v>
      </c>
      <c r="BD50" s="61" t="n">
        <v>32350</v>
      </c>
      <c r="BE50" s="36" t="inlineStr">
        <is>
          <t>曹星</t>
        </is>
      </c>
      <c r="BF50" s="61" t="n">
        <v>103800</v>
      </c>
      <c r="BG50" s="61" t="n">
        <v>0</v>
      </c>
      <c r="BH50" s="61" t="n">
        <v>20700</v>
      </c>
      <c r="BI50" s="61" t="n">
        <v>19650</v>
      </c>
      <c r="BJ50" s="61" t="n">
        <v>18600</v>
      </c>
      <c r="BK50" s="61" t="n">
        <v>0</v>
      </c>
      <c r="BL50" s="61" t="n">
        <v>29704.59</v>
      </c>
      <c r="BM50" s="36" t="n">
        <v>103800</v>
      </c>
      <c r="BN50" s="36" t="n">
        <v>0</v>
      </c>
      <c r="BO50" s="36" t="n">
        <v>95445.41</v>
      </c>
      <c r="BP50" s="36" t="n">
        <v>0</v>
      </c>
      <c r="BQ50" s="36" t="n">
        <v>192454.59</v>
      </c>
      <c r="BR50" s="36" t="n">
        <v>32350</v>
      </c>
    </row>
    <row r="51" customFormat="1" s="5">
      <c r="A51" s="34" t="inlineStr">
        <is>
          <t>广州集泰化工股份有限公司</t>
        </is>
      </c>
      <c r="B51" s="35" t="inlineStr">
        <is>
          <t>G130902308</t>
        </is>
      </c>
      <c r="C51" s="36" t="inlineStr">
        <is>
          <t>广东隆邦橡胶科技有限公司</t>
        </is>
      </c>
      <c r="D51" s="36" t="n"/>
      <c r="E51" s="36" t="n">
        <v>0</v>
      </c>
      <c r="F51" s="37" t="n">
        <v>46172</v>
      </c>
      <c r="G51" s="36" t="inlineStr">
        <is>
          <t>曹星</t>
        </is>
      </c>
      <c r="H51" s="36" t="n"/>
      <c r="I51" s="36" t="inlineStr">
        <is>
          <t>蓖麻油</t>
        </is>
      </c>
      <c r="J51" s="44" t="n">
        <v>0</v>
      </c>
      <c r="K51" s="44" t="n">
        <v>1</v>
      </c>
      <c r="L51" s="44" t="n">
        <v>0</v>
      </c>
      <c r="M51" s="36" t="inlineStr">
        <is>
          <t>电汇</t>
        </is>
      </c>
      <c r="N51" s="36" t="n"/>
      <c r="O51" s="61" t="n"/>
      <c r="P51" s="61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61" t="n">
        <v>-13150</v>
      </c>
      <c r="Z51" s="61" t="n">
        <v>-13150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1" t="n">
        <v>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/>
      <c r="AN51" s="61" t="n">
        <v>0</v>
      </c>
      <c r="AO51" s="61" t="n">
        <v>32875</v>
      </c>
      <c r="AP51" s="61" t="n">
        <v>32875</v>
      </c>
      <c r="AQ51" s="61" t="n">
        <v>0</v>
      </c>
      <c r="AR51" s="61" t="n">
        <v>0</v>
      </c>
      <c r="AS51" s="61" t="n">
        <v>65750</v>
      </c>
      <c r="AT51" s="61" t="n">
        <v>0</v>
      </c>
      <c r="AU51" s="61" t="n">
        <v>92050</v>
      </c>
      <c r="AV51" s="61" t="n">
        <v>65950</v>
      </c>
      <c r="AW51" s="61" t="n">
        <v>13250</v>
      </c>
      <c r="AX51" s="61" t="n">
        <v>39750</v>
      </c>
      <c r="AY51" s="61" t="n">
        <v>7950</v>
      </c>
      <c r="AZ51" s="61" t="n">
        <v>0</v>
      </c>
      <c r="BA51" s="61" t="inlineStr">
        <is>
          <t>否</t>
        </is>
      </c>
      <c r="BB51" s="61" t="n">
        <v>13150</v>
      </c>
      <c r="BC51" s="61" t="n">
        <v>78900</v>
      </c>
      <c r="BD51" s="61" t="n">
        <v>13150</v>
      </c>
      <c r="BE51" s="36" t="inlineStr">
        <is>
          <t>曹星</t>
        </is>
      </c>
      <c r="BF51" s="61" t="n">
        <v>-13150</v>
      </c>
      <c r="BG51" s="61" t="n">
        <v>0</v>
      </c>
      <c r="BH51" s="61" t="n">
        <v>0</v>
      </c>
      <c r="BI51" s="61" t="n">
        <v>0</v>
      </c>
      <c r="BJ51" s="61" t="n">
        <v>0</v>
      </c>
      <c r="BK51" s="61" t="n">
        <v>0</v>
      </c>
      <c r="BL51" s="61" t="n">
        <v>0</v>
      </c>
      <c r="BM51" s="36" t="n">
        <v>0</v>
      </c>
      <c r="BN51" s="36" t="n">
        <v>32875</v>
      </c>
      <c r="BO51" s="36" t="n">
        <v>78900</v>
      </c>
      <c r="BP51" s="36" t="n">
        <v>13150</v>
      </c>
      <c r="BQ51" s="36" t="n">
        <v>-13150</v>
      </c>
      <c r="BR51" s="36" t="n">
        <v>13150</v>
      </c>
    </row>
    <row r="52" customFormat="1" s="5">
      <c r="A52" s="34" t="inlineStr">
        <is>
          <t>广州集泰化工股份有限公司</t>
        </is>
      </c>
      <c r="B52" s="35" t="inlineStr">
        <is>
          <t>G130902313</t>
        </is>
      </c>
      <c r="C52" s="36" t="inlineStr">
        <is>
          <t>广东腾骏化工科技有限公司</t>
        </is>
      </c>
      <c r="D52" s="36" t="n"/>
      <c r="E52" s="36" t="n">
        <v>2</v>
      </c>
      <c r="F52" s="37" t="n">
        <v>46172</v>
      </c>
      <c r="G52" s="36" t="inlineStr">
        <is>
          <t>曹星</t>
        </is>
      </c>
      <c r="H52" s="36" t="n"/>
      <c r="I52" s="36" t="inlineStr">
        <is>
          <t>溶剂、煤油</t>
        </is>
      </c>
      <c r="J52" s="36" t="n">
        <v>120</v>
      </c>
      <c r="K52" s="36" t="n">
        <v>150</v>
      </c>
      <c r="L52" s="44" t="n">
        <v>0</v>
      </c>
      <c r="M52" s="36" t="inlineStr">
        <is>
          <t>大银行承兑/电汇</t>
        </is>
      </c>
      <c r="N52" s="36" t="n"/>
      <c r="O52" s="61" t="n">
        <v>192551.4</v>
      </c>
      <c r="P52" s="61" t="n"/>
      <c r="Q52" s="36" t="n"/>
      <c r="R52" s="36" t="n"/>
      <c r="S52" s="36" t="n">
        <v>192551.4</v>
      </c>
      <c r="T52" s="36" t="n"/>
      <c r="U52" s="36" t="n"/>
      <c r="V52" s="36" t="n"/>
      <c r="W52" s="36" t="n"/>
      <c r="X52" s="36" t="n"/>
      <c r="Y52" s="61" t="n">
        <v>330439</v>
      </c>
      <c r="Z52" s="61" t="n">
        <v>97041</v>
      </c>
      <c r="AA52" s="61" t="n">
        <v>7161</v>
      </c>
      <c r="AB52" s="61" t="n">
        <v>7161</v>
      </c>
      <c r="AC52" s="61" t="n">
        <v>5130</v>
      </c>
      <c r="AD52" s="91" t="n">
        <v>104202</v>
      </c>
      <c r="AE52" s="61" t="n">
        <v>0</v>
      </c>
      <c r="AF52" s="66" t="n">
        <v>99072</v>
      </c>
      <c r="AG52" s="66" t="n">
        <v>10672</v>
      </c>
      <c r="AH52" s="61" t="n">
        <v>0</v>
      </c>
      <c r="AI52" s="61" t="n">
        <v>0</v>
      </c>
      <c r="AJ52" s="61" t="n">
        <v>0</v>
      </c>
      <c r="AK52" s="61" t="n">
        <v>0</v>
      </c>
      <c r="AL52" s="61" t="n">
        <v>0</v>
      </c>
      <c r="AM52" s="61" t="n"/>
      <c r="AN52" s="61" t="n">
        <v>97041</v>
      </c>
      <c r="AO52" s="61" t="n">
        <v>7161</v>
      </c>
      <c r="AP52" s="61" t="n">
        <v>7161</v>
      </c>
      <c r="AQ52" s="61" t="n">
        <v>5130</v>
      </c>
      <c r="AR52" s="61" t="n">
        <v>104202</v>
      </c>
      <c r="AS52" s="61" t="n">
        <v>0</v>
      </c>
      <c r="AT52" s="61" t="n">
        <v>99072</v>
      </c>
      <c r="AU52" s="61" t="n">
        <v>14322</v>
      </c>
      <c r="AV52" s="61" t="n">
        <v>106816.5</v>
      </c>
      <c r="AW52" s="61" t="n">
        <v>0</v>
      </c>
      <c r="AX52" s="61" t="n">
        <v>0</v>
      </c>
      <c r="AY52" s="61" t="n">
        <v>84750</v>
      </c>
      <c r="AZ52" s="61" t="n">
        <v>86250</v>
      </c>
      <c r="BA52" s="61" t="inlineStr">
        <is>
          <t>否</t>
        </is>
      </c>
      <c r="BB52" s="61" t="n">
        <v>0</v>
      </c>
      <c r="BC52" s="61" t="n">
        <v>110000</v>
      </c>
      <c r="BD52" s="61" t="n">
        <v>7161</v>
      </c>
      <c r="BE52" s="36" t="inlineStr">
        <is>
          <t>曹星</t>
        </is>
      </c>
      <c r="BF52" s="61" t="n">
        <v>97041</v>
      </c>
      <c r="BG52" s="61" t="n">
        <v>7161</v>
      </c>
      <c r="BH52" s="61" t="n">
        <v>7161</v>
      </c>
      <c r="BI52" s="61" t="n">
        <v>5130</v>
      </c>
      <c r="BJ52" s="61" t="n">
        <v>104202</v>
      </c>
      <c r="BK52" s="61" t="n">
        <v>0</v>
      </c>
      <c r="BL52" s="61" t="n">
        <v>109744</v>
      </c>
      <c r="BM52" s="36" t="n">
        <v>97041</v>
      </c>
      <c r="BN52" s="36" t="n">
        <v>7161</v>
      </c>
      <c r="BO52" s="36" t="n">
        <v>110000</v>
      </c>
      <c r="BP52" s="36" t="n">
        <v>0</v>
      </c>
      <c r="BQ52" s="36" t="n">
        <v>330439</v>
      </c>
      <c r="BR52" s="36" t="n">
        <v>7161</v>
      </c>
    </row>
    <row r="53" customFormat="1" s="5">
      <c r="A53" s="34" t="inlineStr">
        <is>
          <t>广州集泰化工股份有限公司</t>
        </is>
      </c>
      <c r="B53" s="35" t="inlineStr">
        <is>
          <t>G130902332</t>
        </is>
      </c>
      <c r="C53" s="36" t="inlineStr">
        <is>
          <t>佳化化学泉州有限公司</t>
        </is>
      </c>
      <c r="D53" s="36" t="n"/>
      <c r="E53" s="36" t="n">
        <v>0</v>
      </c>
      <c r="F53" s="37" t="n">
        <v>46172</v>
      </c>
      <c r="G53" s="36" t="inlineStr">
        <is>
          <t>曹星</t>
        </is>
      </c>
      <c r="H53" s="36" t="n"/>
      <c r="I53" s="44" t="n"/>
      <c r="J53" s="44" t="n">
        <v>0</v>
      </c>
      <c r="K53" s="44" t="n">
        <v>1</v>
      </c>
      <c r="L53" s="44" t="n">
        <v>0</v>
      </c>
      <c r="M53" s="36" t="inlineStr">
        <is>
          <t>电汇</t>
        </is>
      </c>
      <c r="N53" s="36" t="n"/>
      <c r="O53" s="61" t="n"/>
      <c r="P53" s="61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/>
      <c r="AN53" s="61" t="n">
        <v>0</v>
      </c>
      <c r="AO53" s="61" t="n">
        <v>0</v>
      </c>
      <c r="AP53" s="61" t="n">
        <v>6100</v>
      </c>
      <c r="AQ53" s="61" t="n">
        <v>0</v>
      </c>
      <c r="AR53" s="61" t="n">
        <v>7400</v>
      </c>
      <c r="AS53" s="61" t="n">
        <v>0</v>
      </c>
      <c r="AT53" s="61" t="n">
        <v>6580</v>
      </c>
      <c r="AU53" s="61" t="n">
        <v>0</v>
      </c>
      <c r="AV53" s="61" t="n">
        <v>6300</v>
      </c>
      <c r="AW53" s="61" t="n">
        <v>0</v>
      </c>
      <c r="AX53" s="61" t="n">
        <v>3700</v>
      </c>
      <c r="AY53" s="61" t="n">
        <v>0</v>
      </c>
      <c r="AZ53" s="61" t="n">
        <v>0</v>
      </c>
      <c r="BA53" s="61" t="inlineStr">
        <is>
          <t>否</t>
        </is>
      </c>
      <c r="BB53" s="61" t="n">
        <v>0</v>
      </c>
      <c r="BC53" s="61" t="n">
        <v>13500</v>
      </c>
      <c r="BD53" s="61" t="n">
        <v>0</v>
      </c>
      <c r="BE53" s="36" t="inlineStr">
        <is>
          <t>曹星</t>
        </is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>
        <v>0</v>
      </c>
      <c r="BL53" s="61" t="n">
        <v>0</v>
      </c>
      <c r="BM53" s="36" t="n">
        <v>0</v>
      </c>
      <c r="BN53" s="36" t="n">
        <v>0</v>
      </c>
      <c r="BO53" s="36" t="n">
        <v>13500</v>
      </c>
      <c r="BP53" s="36" t="n">
        <v>0</v>
      </c>
      <c r="BQ53" s="36" t="n">
        <v>0</v>
      </c>
      <c r="BR53" s="36" t="n">
        <v>0</v>
      </c>
    </row>
    <row r="54" customFormat="1" s="5">
      <c r="A54" s="34" t="inlineStr">
        <is>
          <t>广州集泰化工股份有限公司</t>
        </is>
      </c>
      <c r="B54" s="35" t="inlineStr">
        <is>
          <t>G140201007</t>
        </is>
      </c>
      <c r="C54" s="36" t="inlineStr">
        <is>
          <t>广州市辰辉贸易有限公司</t>
        </is>
      </c>
      <c r="D54" s="36" t="n"/>
      <c r="E54" s="36" t="n">
        <v>1</v>
      </c>
      <c r="F54" s="37" t="n">
        <v>46172</v>
      </c>
      <c r="G54" s="36" t="inlineStr">
        <is>
          <t>曹星</t>
        </is>
      </c>
      <c r="H54" s="36" t="n"/>
      <c r="I54" s="36" t="inlineStr">
        <is>
          <t>固化剂、防锈剂</t>
        </is>
      </c>
      <c r="J54" s="36" t="n">
        <v>90</v>
      </c>
      <c r="K54" s="36" t="n">
        <v>150</v>
      </c>
      <c r="L54" s="44" t="n">
        <v>0</v>
      </c>
      <c r="M54" s="36" t="inlineStr">
        <is>
          <t>银承/电汇</t>
        </is>
      </c>
      <c r="N54" s="36" t="n"/>
      <c r="O54" s="61" t="n">
        <v>482040</v>
      </c>
      <c r="P54" s="61" t="n"/>
      <c r="Q54" s="36" t="n"/>
      <c r="R54" s="36" t="n"/>
      <c r="S54" s="36" t="n">
        <v>482040</v>
      </c>
      <c r="T54" s="36" t="n"/>
      <c r="U54" s="36" t="n"/>
      <c r="V54" s="36" t="n"/>
      <c r="W54" s="36" t="n"/>
      <c r="X54" s="36" t="n"/>
      <c r="Y54" s="61" t="n">
        <v>1045260</v>
      </c>
      <c r="Z54" s="61" t="n">
        <v>363140</v>
      </c>
      <c r="AA54" s="61" t="n">
        <v>0</v>
      </c>
      <c r="AB54" s="61" t="n">
        <v>130320</v>
      </c>
      <c r="AC54" s="61" t="n">
        <v>16200</v>
      </c>
      <c r="AD54" s="92" t="n">
        <v>192200</v>
      </c>
      <c r="AE54" s="66" t="n">
        <v>32200</v>
      </c>
      <c r="AF54" s="66" t="n">
        <v>311200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0</v>
      </c>
      <c r="AL54" s="61" t="n">
        <v>0</v>
      </c>
      <c r="AM54" s="61" t="n"/>
      <c r="AN54" s="61" t="n">
        <v>363140</v>
      </c>
      <c r="AO54" s="61" t="n">
        <v>0</v>
      </c>
      <c r="AP54" s="61" t="n">
        <v>130320</v>
      </c>
      <c r="AQ54" s="61" t="n">
        <v>16200</v>
      </c>
      <c r="AR54" s="61" t="n">
        <v>192200</v>
      </c>
      <c r="AS54" s="61" t="n">
        <v>32200</v>
      </c>
      <c r="AT54" s="61" t="n">
        <v>311300</v>
      </c>
      <c r="AU54" s="61" t="n">
        <v>195500</v>
      </c>
      <c r="AV54" s="61" t="n">
        <v>216200</v>
      </c>
      <c r="AW54" s="61" t="n">
        <v>202900</v>
      </c>
      <c r="AX54" s="61" t="n">
        <v>297500</v>
      </c>
      <c r="AY54" s="61" t="n">
        <v>369500</v>
      </c>
      <c r="AZ54" s="61" t="n">
        <v>313300</v>
      </c>
      <c r="BA54" s="61" t="inlineStr">
        <is>
          <t>否</t>
        </is>
      </c>
      <c r="BB54" s="61" t="n">
        <v>405000</v>
      </c>
      <c r="BC54" s="61" t="n">
        <v>705000</v>
      </c>
      <c r="BD54" s="61" t="n">
        <v>0</v>
      </c>
      <c r="BE54" s="36" t="inlineStr">
        <is>
          <t>曹星</t>
        </is>
      </c>
      <c r="BF54" s="61" t="n">
        <v>363140</v>
      </c>
      <c r="BG54" s="61" t="n">
        <v>0</v>
      </c>
      <c r="BH54" s="61" t="n">
        <v>130320</v>
      </c>
      <c r="BI54" s="61" t="n">
        <v>16200</v>
      </c>
      <c r="BJ54" s="61" t="n">
        <v>192200</v>
      </c>
      <c r="BK54" s="61" t="n">
        <v>32200</v>
      </c>
      <c r="BL54" s="61" t="n">
        <v>311200</v>
      </c>
      <c r="BM54" s="36" t="n">
        <v>363140</v>
      </c>
      <c r="BN54" s="36" t="n">
        <v>0</v>
      </c>
      <c r="BO54" s="36" t="n">
        <v>705000</v>
      </c>
      <c r="BP54" s="36" t="n">
        <v>405000</v>
      </c>
      <c r="BQ54" s="36" t="n">
        <v>1045260</v>
      </c>
      <c r="BR54" s="36" t="n">
        <v>0</v>
      </c>
    </row>
    <row r="55" customFormat="1" s="5">
      <c r="A55" s="34" t="inlineStr">
        <is>
          <t>广州集泰化工股份有限公司</t>
        </is>
      </c>
      <c r="B55" s="35" t="inlineStr">
        <is>
          <t>G140201012</t>
        </is>
      </c>
      <c r="C55" s="36" t="inlineStr">
        <is>
          <t>广州远晟商贸有限公司</t>
        </is>
      </c>
      <c r="D55" s="36" t="n"/>
      <c r="E55" s="36" t="n">
        <v>2</v>
      </c>
      <c r="F55" s="37" t="n">
        <v>46172</v>
      </c>
      <c r="G55" s="36" t="inlineStr">
        <is>
          <t>曹星</t>
        </is>
      </c>
      <c r="H55" s="36" t="n"/>
      <c r="I55" s="36" t="inlineStr">
        <is>
          <t>色粉</t>
        </is>
      </c>
      <c r="J55" s="36" t="n">
        <v>90</v>
      </c>
      <c r="K55" s="36" t="n">
        <v>90</v>
      </c>
      <c r="L55" s="44" t="n">
        <v>0</v>
      </c>
      <c r="M55" s="36" t="inlineStr">
        <is>
          <t>银承/电汇</t>
        </is>
      </c>
      <c r="N55" s="36" t="n"/>
      <c r="O55" s="61" t="n">
        <v>161865</v>
      </c>
      <c r="P55" s="61" t="n"/>
      <c r="Q55" s="36" t="n"/>
      <c r="R55" s="36" t="n"/>
      <c r="S55" s="36" t="n">
        <v>161865</v>
      </c>
      <c r="T55" s="36" t="n"/>
      <c r="U55" s="36" t="n"/>
      <c r="V55" s="36" t="n"/>
      <c r="W55" s="36" t="n"/>
      <c r="X55" s="36" t="n"/>
      <c r="Y55" s="61" t="n">
        <v>257725</v>
      </c>
      <c r="Z55" s="61" t="n">
        <v>57125</v>
      </c>
      <c r="AA55" s="61" t="n">
        <v>20750</v>
      </c>
      <c r="AB55" s="93" t="n">
        <v>20000</v>
      </c>
      <c r="AC55" s="66" t="n">
        <v>41500</v>
      </c>
      <c r="AD55" s="66" t="n">
        <v>56850</v>
      </c>
      <c r="AE55" s="66" t="n">
        <v>61500</v>
      </c>
      <c r="AF55" s="61" t="n">
        <v>0</v>
      </c>
      <c r="AG55" s="61" t="n">
        <v>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/>
      <c r="AN55" s="61" t="n">
        <v>57125</v>
      </c>
      <c r="AO55" s="61" t="n">
        <v>20750</v>
      </c>
      <c r="AP55" s="61" t="n">
        <v>20000</v>
      </c>
      <c r="AQ55" s="61" t="n">
        <v>41500</v>
      </c>
      <c r="AR55" s="61" t="n">
        <v>56850</v>
      </c>
      <c r="AS55" s="61" t="n">
        <v>61500</v>
      </c>
      <c r="AT55" s="61" t="n">
        <v>57150</v>
      </c>
      <c r="AU55" s="61" t="n">
        <v>71500</v>
      </c>
      <c r="AV55" s="61" t="n">
        <v>40750</v>
      </c>
      <c r="AW55" s="61" t="n">
        <v>88662.5</v>
      </c>
      <c r="AX55" s="61" t="n">
        <v>133600</v>
      </c>
      <c r="AY55" s="61" t="n">
        <v>77862.5</v>
      </c>
      <c r="AZ55" s="61" t="n">
        <v>68850</v>
      </c>
      <c r="BA55" s="61" t="inlineStr">
        <is>
          <t>否</t>
        </is>
      </c>
      <c r="BB55" s="61" t="n">
        <v>49500</v>
      </c>
      <c r="BC55" s="61" t="n">
        <v>159500</v>
      </c>
      <c r="BD55" s="61" t="n">
        <v>40750</v>
      </c>
      <c r="BE55" s="36" t="inlineStr">
        <is>
          <t>曹星</t>
        </is>
      </c>
      <c r="BF55" s="61" t="n">
        <v>57125</v>
      </c>
      <c r="BG55" s="61" t="n">
        <v>20750</v>
      </c>
      <c r="BH55" s="61" t="n">
        <v>20000</v>
      </c>
      <c r="BI55" s="61" t="n">
        <v>41500</v>
      </c>
      <c r="BJ55" s="61" t="n">
        <v>56850</v>
      </c>
      <c r="BK55" s="61" t="n">
        <v>61500</v>
      </c>
      <c r="BL55" s="61" t="n">
        <v>0</v>
      </c>
      <c r="BM55" s="36" t="n">
        <v>57125</v>
      </c>
      <c r="BN55" s="36" t="n">
        <v>20750</v>
      </c>
      <c r="BO55" s="36" t="n">
        <v>159500</v>
      </c>
      <c r="BP55" s="36" t="n">
        <v>49500</v>
      </c>
      <c r="BQ55" s="36" t="n">
        <v>257725</v>
      </c>
      <c r="BR55" s="36" t="n">
        <v>40750</v>
      </c>
    </row>
    <row r="56" customFormat="1" s="5">
      <c r="A56" s="34" t="inlineStr">
        <is>
          <t>广州集泰化工股份有限公司</t>
        </is>
      </c>
      <c r="B56" s="35" t="inlineStr">
        <is>
          <t>G140201016</t>
        </is>
      </c>
      <c r="C56" s="36" t="inlineStr">
        <is>
          <t>广福建材（蕉岭）精化有限公司</t>
        </is>
      </c>
      <c r="D56" s="36" t="n"/>
      <c r="E56" s="36" t="n">
        <v>2</v>
      </c>
      <c r="F56" s="37" t="n">
        <v>46172</v>
      </c>
      <c r="G56" s="36" t="inlineStr">
        <is>
          <t>曹星</t>
        </is>
      </c>
      <c r="H56" s="36" t="n"/>
      <c r="I56" s="36" t="inlineStr">
        <is>
          <t>钙粉</t>
        </is>
      </c>
      <c r="J56" s="36" t="n">
        <v>30</v>
      </c>
      <c r="K56" s="36" t="n">
        <v>120</v>
      </c>
      <c r="L56" s="44" t="n">
        <v>0</v>
      </c>
      <c r="M56" s="36" t="inlineStr">
        <is>
          <t>银承/电汇</t>
        </is>
      </c>
      <c r="N56" s="36" t="n"/>
      <c r="O56" s="61" t="n"/>
      <c r="P56" s="61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61" t="n">
        <v>5717.27</v>
      </c>
      <c r="Z56" s="61" t="n">
        <v>5717.27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/>
      <c r="AN56" s="61" t="n">
        <v>6500</v>
      </c>
      <c r="AO56" s="61" t="n">
        <v>6500</v>
      </c>
      <c r="AP56" s="61" t="n">
        <v>0</v>
      </c>
      <c r="AQ56" s="61" t="n">
        <v>8350</v>
      </c>
      <c r="AR56" s="61" t="n">
        <v>0</v>
      </c>
      <c r="AS56" s="61" t="n">
        <v>6950</v>
      </c>
      <c r="AT56" s="61" t="n">
        <v>6500</v>
      </c>
      <c r="AU56" s="61" t="n">
        <v>0</v>
      </c>
      <c r="AV56" s="61" t="n">
        <v>6500</v>
      </c>
      <c r="AW56" s="61" t="n">
        <v>14850</v>
      </c>
      <c r="AX56" s="61" t="n">
        <v>0</v>
      </c>
      <c r="AY56" s="61" t="n">
        <v>6500</v>
      </c>
      <c r="AZ56" s="61" t="n">
        <v>6500</v>
      </c>
      <c r="BA56" s="61" t="inlineStr">
        <is>
          <t>否</t>
        </is>
      </c>
      <c r="BB56" s="61" t="n">
        <v>49829.73</v>
      </c>
      <c r="BC56" s="61" t="n">
        <v>49829.73</v>
      </c>
      <c r="BD56" s="61" t="n">
        <v>0</v>
      </c>
      <c r="BE56" s="36" t="inlineStr">
        <is>
          <t>曹星</t>
        </is>
      </c>
      <c r="BF56" s="61" t="n">
        <v>5717.27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>
        <v>0</v>
      </c>
      <c r="BL56" s="61" t="n">
        <v>0</v>
      </c>
      <c r="BM56" s="36" t="n">
        <v>6500</v>
      </c>
      <c r="BN56" s="36" t="n">
        <v>6500</v>
      </c>
      <c r="BO56" s="36" t="n">
        <v>49829.73</v>
      </c>
      <c r="BP56" s="36" t="n">
        <v>49829.73</v>
      </c>
      <c r="BQ56" s="36" t="n">
        <v>5717.27</v>
      </c>
      <c r="BR56" s="36" t="n">
        <v>0</v>
      </c>
    </row>
    <row r="57" customFormat="1" s="5">
      <c r="A57" s="34" t="inlineStr">
        <is>
          <t>广州集泰化工股份有限公司</t>
        </is>
      </c>
      <c r="B57" s="35" t="inlineStr">
        <is>
          <t>G140201018</t>
        </is>
      </c>
      <c r="C57" s="36" t="inlineStr">
        <is>
          <t>广州市欧旗贸易有限公司</t>
        </is>
      </c>
      <c r="D57" s="36" t="n"/>
      <c r="E57" s="36" t="n">
        <v>2</v>
      </c>
      <c r="F57" s="37" t="n">
        <v>46172</v>
      </c>
      <c r="G57" s="36" t="inlineStr">
        <is>
          <t>曹星</t>
        </is>
      </c>
      <c r="H57" s="36" t="n"/>
      <c r="I57" s="36" t="inlineStr">
        <is>
          <t>消泡剂</t>
        </is>
      </c>
      <c r="J57" s="36" t="n">
        <v>30</v>
      </c>
      <c r="K57" s="36" t="n">
        <v>90</v>
      </c>
      <c r="L57" s="44" t="n">
        <v>0</v>
      </c>
      <c r="M57" s="36" t="inlineStr">
        <is>
          <t>电汇/银承</t>
        </is>
      </c>
      <c r="N57" s="36" t="n"/>
      <c r="O57" s="61" t="n"/>
      <c r="P57" s="61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61" t="n">
        <v>5600</v>
      </c>
      <c r="Z57" s="61" t="n">
        <v>0</v>
      </c>
      <c r="AA57" s="61" t="n">
        <v>5600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/>
      <c r="AN57" s="61" t="n">
        <v>0</v>
      </c>
      <c r="AO57" s="61" t="n">
        <v>5600</v>
      </c>
      <c r="AP57" s="61" t="n">
        <v>0</v>
      </c>
      <c r="AQ57" s="61" t="n">
        <v>0</v>
      </c>
      <c r="AR57" s="61" t="n">
        <v>0</v>
      </c>
      <c r="AS57" s="61" t="n">
        <v>20650</v>
      </c>
      <c r="AT57" s="61" t="n">
        <v>10350</v>
      </c>
      <c r="AU57" s="61" t="n">
        <v>0</v>
      </c>
      <c r="AV57" s="61" t="n">
        <v>0</v>
      </c>
      <c r="AW57" s="61" t="n">
        <v>12550</v>
      </c>
      <c r="AX57" s="61" t="n">
        <v>0</v>
      </c>
      <c r="AY57" s="61" t="n">
        <v>0</v>
      </c>
      <c r="AZ57" s="61" t="n">
        <v>3700</v>
      </c>
      <c r="BA57" s="61" t="inlineStr">
        <is>
          <t>否</t>
        </is>
      </c>
      <c r="BB57" s="61" t="n">
        <v>0</v>
      </c>
      <c r="BC57" s="61" t="n">
        <v>20650</v>
      </c>
      <c r="BD57" s="61" t="n">
        <v>0</v>
      </c>
      <c r="BE57" s="36" t="inlineStr">
        <is>
          <t>曹星</t>
        </is>
      </c>
      <c r="BF57" s="61" t="n">
        <v>0</v>
      </c>
      <c r="BG57" s="61" t="n">
        <v>5600</v>
      </c>
      <c r="BH57" s="61" t="n">
        <v>0</v>
      </c>
      <c r="BI57" s="61" t="n">
        <v>0</v>
      </c>
      <c r="BJ57" s="61" t="n">
        <v>0</v>
      </c>
      <c r="BK57" s="61" t="n">
        <v>0</v>
      </c>
      <c r="BL57" s="61" t="n">
        <v>0</v>
      </c>
      <c r="BM57" s="36" t="n">
        <v>0</v>
      </c>
      <c r="BN57" s="36" t="n">
        <v>5600</v>
      </c>
      <c r="BO57" s="36" t="n">
        <v>20650</v>
      </c>
      <c r="BP57" s="36" t="n">
        <v>0</v>
      </c>
      <c r="BQ57" s="36" t="n">
        <v>5600</v>
      </c>
      <c r="BR57" s="36" t="n">
        <v>0</v>
      </c>
    </row>
    <row r="58" customFormat="1" s="5">
      <c r="A58" s="34" t="inlineStr">
        <is>
          <t>广州集泰化工股份有限公司</t>
        </is>
      </c>
      <c r="B58" s="35" t="inlineStr">
        <is>
          <t>G140201029</t>
        </is>
      </c>
      <c r="C58" s="36" t="inlineStr">
        <is>
          <t>广东玉峰粉体材料股份有限公司</t>
        </is>
      </c>
      <c r="D58" s="36" t="n"/>
      <c r="E58" s="36" t="n">
        <v>2</v>
      </c>
      <c r="F58" s="37" t="n">
        <v>46172</v>
      </c>
      <c r="G58" s="36" t="inlineStr">
        <is>
          <t>曹星</t>
        </is>
      </c>
      <c r="H58" s="36" t="n"/>
      <c r="I58" s="36" t="inlineStr">
        <is>
          <t>硫酸钡</t>
        </is>
      </c>
      <c r="J58" s="36" t="n">
        <v>30</v>
      </c>
      <c r="K58" s="36" t="n">
        <v>120</v>
      </c>
      <c r="L58" s="44" t="n">
        <v>0</v>
      </c>
      <c r="M58" s="36" t="inlineStr">
        <is>
          <t>银承/电汇</t>
        </is>
      </c>
      <c r="N58" s="36" t="n"/>
      <c r="O58" s="61" t="n">
        <v>107865</v>
      </c>
      <c r="P58" s="61" t="n"/>
      <c r="Q58" s="36" t="n"/>
      <c r="R58" s="36" t="n"/>
      <c r="S58" s="36" t="n">
        <v>107865</v>
      </c>
      <c r="T58" s="36" t="n"/>
      <c r="U58" s="36" t="n"/>
      <c r="V58" s="36" t="n"/>
      <c r="W58" s="36" t="n"/>
      <c r="X58" s="36" t="n"/>
      <c r="Y58" s="61" t="n">
        <v>143850</v>
      </c>
      <c r="Z58" s="61" t="n">
        <v>24000</v>
      </c>
      <c r="AA58" s="61" t="n">
        <v>0</v>
      </c>
      <c r="AB58" s="61" t="n">
        <v>0</v>
      </c>
      <c r="AC58" s="94" t="n">
        <v>24000</v>
      </c>
      <c r="AD58" s="66" t="n">
        <v>48000</v>
      </c>
      <c r="AE58" s="66" t="n">
        <v>47850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/>
      <c r="AN58" s="61" t="n">
        <v>24000</v>
      </c>
      <c r="AO58" s="61" t="n">
        <v>0</v>
      </c>
      <c r="AP58" s="61" t="n">
        <v>0</v>
      </c>
      <c r="AQ58" s="61" t="n">
        <v>24000</v>
      </c>
      <c r="AR58" s="61" t="n">
        <v>48000</v>
      </c>
      <c r="AS58" s="61" t="n">
        <v>48000</v>
      </c>
      <c r="AT58" s="61" t="n">
        <v>24000</v>
      </c>
      <c r="AU58" s="61" t="n">
        <v>48000</v>
      </c>
      <c r="AV58" s="61" t="n">
        <v>78000</v>
      </c>
      <c r="AW58" s="61" t="n">
        <v>24000</v>
      </c>
      <c r="AX58" s="61" t="n">
        <v>24000</v>
      </c>
      <c r="AY58" s="61" t="n">
        <v>21000</v>
      </c>
      <c r="AZ58" s="61" t="n">
        <v>0</v>
      </c>
      <c r="BA58" s="61" t="inlineStr">
        <is>
          <t>否</t>
        </is>
      </c>
      <c r="BB58" s="61" t="n">
        <v>69750</v>
      </c>
      <c r="BC58" s="61" t="n">
        <v>149750</v>
      </c>
      <c r="BD58" s="61" t="n">
        <v>0</v>
      </c>
      <c r="BE58" s="36" t="inlineStr">
        <is>
          <t>曹星</t>
        </is>
      </c>
      <c r="BF58" s="61" t="n">
        <v>24000</v>
      </c>
      <c r="BG58" s="61" t="n">
        <v>0</v>
      </c>
      <c r="BH58" s="61" t="n">
        <v>0</v>
      </c>
      <c r="BI58" s="61" t="n">
        <v>24000</v>
      </c>
      <c r="BJ58" s="61" t="n">
        <v>48000</v>
      </c>
      <c r="BK58" s="61" t="n">
        <v>47850</v>
      </c>
      <c r="BL58" s="61" t="n">
        <v>0</v>
      </c>
      <c r="BM58" s="36" t="n">
        <v>24000</v>
      </c>
      <c r="BN58" s="36" t="n">
        <v>0</v>
      </c>
      <c r="BO58" s="36" t="n">
        <v>149750</v>
      </c>
      <c r="BP58" s="36" t="n">
        <v>69750</v>
      </c>
      <c r="BQ58" s="36" t="n">
        <v>143850</v>
      </c>
      <c r="BR58" s="36" t="n">
        <v>0</v>
      </c>
    </row>
    <row r="59" customFormat="1" s="5">
      <c r="A59" s="34" t="inlineStr">
        <is>
          <t>广州集泰化工股份有限公司</t>
        </is>
      </c>
      <c r="B59" s="35" t="inlineStr">
        <is>
          <t>G140201037</t>
        </is>
      </c>
      <c r="C59" s="36" t="inlineStr">
        <is>
          <t>佛山市美仁化工贸易有限公司</t>
        </is>
      </c>
      <c r="D59" s="36" t="n"/>
      <c r="E59" s="36" t="n">
        <v>2</v>
      </c>
      <c r="F59" s="37" t="n">
        <v>46172</v>
      </c>
      <c r="G59" s="36" t="inlineStr">
        <is>
          <t>曹星</t>
        </is>
      </c>
      <c r="H59" s="36" t="n"/>
      <c r="I59" s="36" t="inlineStr">
        <is>
          <t>成膜助剂</t>
        </is>
      </c>
      <c r="J59" s="36" t="n">
        <v>90</v>
      </c>
      <c r="K59" s="36" t="n">
        <v>120</v>
      </c>
      <c r="L59" s="44" t="n">
        <v>0</v>
      </c>
      <c r="M59" s="36" t="inlineStr">
        <is>
          <t>大行银承/电汇</t>
        </is>
      </c>
      <c r="N59" s="36" t="n"/>
      <c r="O59" s="61" t="n">
        <v>25446.411</v>
      </c>
      <c r="P59" s="61" t="n"/>
      <c r="Q59" s="36" t="n"/>
      <c r="R59" s="36" t="n"/>
      <c r="S59" s="36" t="n"/>
      <c r="T59" s="36" t="n"/>
      <c r="U59" s="36" t="n"/>
      <c r="V59" s="36" t="n"/>
      <c r="W59" s="36" t="n">
        <v>25446.411</v>
      </c>
      <c r="X59" s="36" t="n"/>
      <c r="Y59" s="61" t="n">
        <v>50532.98</v>
      </c>
      <c r="Z59" s="61" t="n">
        <v>3019.1</v>
      </c>
      <c r="AA59" s="61" t="n">
        <v>0</v>
      </c>
      <c r="AB59" s="61" t="n">
        <v>19240.09</v>
      </c>
      <c r="AC59" s="61" t="n">
        <v>0</v>
      </c>
      <c r="AD59" s="61" t="n">
        <v>0</v>
      </c>
      <c r="AE59" s="95" t="n">
        <v>8000</v>
      </c>
      <c r="AF59" s="66" t="n">
        <v>20273.79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0</v>
      </c>
      <c r="AL59" s="61" t="n">
        <v>0</v>
      </c>
      <c r="AM59" s="61" t="n"/>
      <c r="AN59" s="61" t="n">
        <v>3019.1</v>
      </c>
      <c r="AO59" s="61" t="n">
        <v>0</v>
      </c>
      <c r="AP59" s="61" t="n">
        <v>19240.09</v>
      </c>
      <c r="AQ59" s="61" t="n">
        <v>0</v>
      </c>
      <c r="AR59" s="61" t="n">
        <v>0</v>
      </c>
      <c r="AS59" s="61" t="n">
        <v>8000</v>
      </c>
      <c r="AT59" s="61" t="n">
        <v>42750</v>
      </c>
      <c r="AU59" s="61" t="n">
        <v>8000</v>
      </c>
      <c r="AV59" s="61" t="n">
        <v>24732.9</v>
      </c>
      <c r="AW59" s="61" t="n">
        <v>60065.09</v>
      </c>
      <c r="AX59" s="61" t="n">
        <v>73750</v>
      </c>
      <c r="AY59" s="61" t="n">
        <v>0</v>
      </c>
      <c r="AZ59" s="61" t="n">
        <v>88110</v>
      </c>
      <c r="BA59" s="61" t="inlineStr">
        <is>
          <t>否</t>
        </is>
      </c>
      <c r="BB59" s="61" t="n">
        <v>30000</v>
      </c>
      <c r="BC59" s="61" t="n">
        <v>55054.2</v>
      </c>
      <c r="BD59" s="61" t="n">
        <v>14600</v>
      </c>
      <c r="BE59" s="36" t="inlineStr">
        <is>
          <t>曹星</t>
        </is>
      </c>
      <c r="BF59" s="61" t="n">
        <v>3019.1</v>
      </c>
      <c r="BG59" s="61" t="n">
        <v>0</v>
      </c>
      <c r="BH59" s="61" t="n">
        <v>19240.09</v>
      </c>
      <c r="BI59" s="61" t="n">
        <v>0</v>
      </c>
      <c r="BJ59" s="61" t="n">
        <v>0</v>
      </c>
      <c r="BK59" s="61" t="n">
        <v>8000</v>
      </c>
      <c r="BL59" s="61" t="n">
        <v>20273.79</v>
      </c>
      <c r="BM59" s="36" t="n">
        <v>3019.1</v>
      </c>
      <c r="BN59" s="36" t="n">
        <v>0</v>
      </c>
      <c r="BO59" s="36" t="n">
        <v>55054.2</v>
      </c>
      <c r="BP59" s="36" t="n">
        <v>30000</v>
      </c>
      <c r="BQ59" s="36" t="n">
        <v>50532.98</v>
      </c>
      <c r="BR59" s="36" t="n">
        <v>14600</v>
      </c>
    </row>
    <row r="60" customFormat="1" s="5">
      <c r="A60" s="34" t="inlineStr">
        <is>
          <t>广州集泰化工股份有限公司</t>
        </is>
      </c>
      <c r="B60" s="35" t="inlineStr">
        <is>
          <t>G140201040</t>
        </is>
      </c>
      <c r="C60" s="36" t="inlineStr">
        <is>
          <t>深圳市海润化工有限公司</t>
        </is>
      </c>
      <c r="D60" s="36" t="n"/>
      <c r="E60" s="36" t="n">
        <v>2</v>
      </c>
      <c r="F60" s="37" t="n">
        <v>46172</v>
      </c>
      <c r="G60" s="36" t="inlineStr">
        <is>
          <t>曹星</t>
        </is>
      </c>
      <c r="H60" s="36" t="n"/>
      <c r="I60" s="36" t="inlineStr">
        <is>
          <t>消泡剂</t>
        </is>
      </c>
      <c r="J60" s="36" t="n">
        <v>90</v>
      </c>
      <c r="K60" s="36" t="n">
        <v>90</v>
      </c>
      <c r="L60" s="44" t="n">
        <v>0</v>
      </c>
      <c r="M60" s="36" t="inlineStr">
        <is>
          <t>银承/电汇</t>
        </is>
      </c>
      <c r="N60" s="36" t="n"/>
      <c r="O60" s="61" t="n">
        <v>15087.6</v>
      </c>
      <c r="P60" s="61" t="n"/>
      <c r="Q60" s="36" t="n"/>
      <c r="R60" s="36" t="n"/>
      <c r="S60" s="36" t="n"/>
      <c r="T60" s="36" t="n"/>
      <c r="U60" s="36" t="n"/>
      <c r="V60" s="36" t="n"/>
      <c r="W60" s="36" t="n">
        <v>15087.6</v>
      </c>
      <c r="X60" s="36" t="n"/>
      <c r="Y60" s="61" t="n">
        <v>67416</v>
      </c>
      <c r="Z60" s="61" t="n">
        <v>16884</v>
      </c>
      <c r="AA60" s="61" t="n">
        <v>33768</v>
      </c>
      <c r="AB60" s="61" t="n">
        <v>0</v>
      </c>
      <c r="AC60" s="61" t="n">
        <v>0</v>
      </c>
      <c r="AD60" s="67" t="n">
        <v>16764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/>
      <c r="AN60" s="61" t="n">
        <v>16884</v>
      </c>
      <c r="AO60" s="61" t="n">
        <v>33768</v>
      </c>
      <c r="AP60" s="61" t="n">
        <v>0</v>
      </c>
      <c r="AQ60" s="61" t="n">
        <v>0</v>
      </c>
      <c r="AR60" s="61" t="n">
        <v>16884</v>
      </c>
      <c r="AS60" s="61" t="n">
        <v>16884</v>
      </c>
      <c r="AT60" s="61" t="n">
        <v>41310</v>
      </c>
      <c r="AU60" s="61" t="n">
        <v>33768</v>
      </c>
      <c r="AV60" s="61" t="n">
        <v>33768</v>
      </c>
      <c r="AW60" s="61" t="n">
        <v>33768</v>
      </c>
      <c r="AX60" s="61" t="n">
        <v>33768</v>
      </c>
      <c r="AY60" s="61" t="n">
        <v>33768</v>
      </c>
      <c r="AZ60" s="61" t="n">
        <v>34718.4</v>
      </c>
      <c r="BA60" s="61" t="inlineStr">
        <is>
          <t>否</t>
        </is>
      </c>
      <c r="BB60" s="61" t="n">
        <v>58000</v>
      </c>
      <c r="BC60" s="61" t="n">
        <v>159618</v>
      </c>
      <c r="BD60" s="61" t="n">
        <v>0</v>
      </c>
      <c r="BE60" s="36" t="inlineStr">
        <is>
          <t>曹星</t>
        </is>
      </c>
      <c r="BF60" s="61" t="n">
        <v>16884</v>
      </c>
      <c r="BG60" s="61" t="n">
        <v>33768</v>
      </c>
      <c r="BH60" s="61" t="n">
        <v>0</v>
      </c>
      <c r="BI60" s="61" t="n">
        <v>0</v>
      </c>
      <c r="BJ60" s="61" t="n">
        <v>16764</v>
      </c>
      <c r="BK60" s="61" t="n">
        <v>0</v>
      </c>
      <c r="BL60" s="61" t="n">
        <v>0</v>
      </c>
      <c r="BM60" s="36" t="n">
        <v>16884</v>
      </c>
      <c r="BN60" s="36" t="n">
        <v>33768</v>
      </c>
      <c r="BO60" s="36" t="n">
        <v>159618</v>
      </c>
      <c r="BP60" s="36" t="n">
        <v>58000</v>
      </c>
      <c r="BQ60" s="36" t="n">
        <v>67416</v>
      </c>
      <c r="BR60" s="36" t="n">
        <v>0</v>
      </c>
    </row>
    <row r="61" customFormat="1" s="5">
      <c r="A61" s="34" t="inlineStr">
        <is>
          <t>广州集泰化工股份有限公司</t>
        </is>
      </c>
      <c r="B61" s="35" t="inlineStr">
        <is>
          <t>G140201046</t>
        </is>
      </c>
      <c r="C61" s="36" t="inlineStr">
        <is>
          <t>广州力宝时贸易发展有限公司</t>
        </is>
      </c>
      <c r="D61" s="36" t="n"/>
      <c r="E61" s="36" t="n">
        <v>2</v>
      </c>
      <c r="F61" s="37" t="n">
        <v>46172</v>
      </c>
      <c r="G61" s="36" t="inlineStr">
        <is>
          <t>曹星</t>
        </is>
      </c>
      <c r="H61" s="36" t="n"/>
      <c r="I61" s="36" t="inlineStr">
        <is>
          <t>环氧</t>
        </is>
      </c>
      <c r="J61" s="36" t="n">
        <v>90</v>
      </c>
      <c r="K61" s="36" t="n">
        <v>150</v>
      </c>
      <c r="L61" s="44" t="n">
        <v>0</v>
      </c>
      <c r="M61" s="36" t="inlineStr">
        <is>
          <t>银承/电汇</t>
        </is>
      </c>
      <c r="N61" s="36" t="n"/>
      <c r="O61" s="61" t="n">
        <v>188251.2</v>
      </c>
      <c r="P61" s="61" t="n"/>
      <c r="Q61" s="36" t="n"/>
      <c r="R61" s="36" t="n"/>
      <c r="S61" s="36" t="n">
        <v>188251.2</v>
      </c>
      <c r="T61" s="36" t="n"/>
      <c r="U61" s="36" t="n"/>
      <c r="V61" s="36" t="n"/>
      <c r="W61" s="36" t="n"/>
      <c r="X61" s="36" t="n"/>
      <c r="Y61" s="61" t="n">
        <v>289256</v>
      </c>
      <c r="Z61" s="61" t="n">
        <v>0</v>
      </c>
      <c r="AA61" s="61" t="n">
        <v>80088</v>
      </c>
      <c r="AB61" s="61" t="n">
        <v>0</v>
      </c>
      <c r="AC61" s="61" t="n">
        <v>0</v>
      </c>
      <c r="AD61" s="61" t="n">
        <v>0</v>
      </c>
      <c r="AE61" s="96" t="n">
        <v>46008</v>
      </c>
      <c r="AF61" s="66" t="n">
        <v>69012</v>
      </c>
      <c r="AG61" s="66" t="n">
        <v>92016</v>
      </c>
      <c r="AH61" s="66" t="n">
        <v>2132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/>
      <c r="AN61" s="61" t="n">
        <v>0</v>
      </c>
      <c r="AO61" s="61" t="n">
        <v>80088</v>
      </c>
      <c r="AP61" s="61" t="n">
        <v>0</v>
      </c>
      <c r="AQ61" s="61" t="n">
        <v>0</v>
      </c>
      <c r="AR61" s="61" t="n">
        <v>0</v>
      </c>
      <c r="AS61" s="61" t="n">
        <v>46008</v>
      </c>
      <c r="AT61" s="61" t="n">
        <v>69012</v>
      </c>
      <c r="AU61" s="61" t="n">
        <v>92016</v>
      </c>
      <c r="AV61" s="61" t="n">
        <v>202428</v>
      </c>
      <c r="AW61" s="61" t="n">
        <v>0</v>
      </c>
      <c r="AX61" s="61" t="n">
        <v>138024</v>
      </c>
      <c r="AY61" s="61" t="n">
        <v>46008</v>
      </c>
      <c r="AZ61" s="61" t="n">
        <v>30672</v>
      </c>
      <c r="BA61" s="61" t="inlineStr">
        <is>
          <t>否</t>
        </is>
      </c>
      <c r="BB61" s="61" t="n">
        <v>195000</v>
      </c>
      <c r="BC61" s="61" t="n">
        <v>335000</v>
      </c>
      <c r="BD61" s="61" t="n">
        <v>31524</v>
      </c>
      <c r="BE61" s="36" t="inlineStr">
        <is>
          <t>曹星</t>
        </is>
      </c>
      <c r="BF61" s="61" t="n">
        <v>0</v>
      </c>
      <c r="BG61" s="61" t="n">
        <v>80088</v>
      </c>
      <c r="BH61" s="61" t="n">
        <v>0</v>
      </c>
      <c r="BI61" s="61" t="n">
        <v>0</v>
      </c>
      <c r="BJ61" s="61" t="n">
        <v>0</v>
      </c>
      <c r="BK61" s="61" t="n">
        <v>46008</v>
      </c>
      <c r="BL61" s="61" t="n">
        <v>163160</v>
      </c>
      <c r="BM61" s="36" t="n">
        <v>0</v>
      </c>
      <c r="BN61" s="36" t="n">
        <v>80088</v>
      </c>
      <c r="BO61" s="36" t="n">
        <v>335000</v>
      </c>
      <c r="BP61" s="36" t="n">
        <v>195000</v>
      </c>
      <c r="BQ61" s="36" t="n">
        <v>289256</v>
      </c>
      <c r="BR61" s="36" t="n">
        <v>31524</v>
      </c>
    </row>
    <row r="62" customFormat="1" s="5">
      <c r="A62" s="34" t="inlineStr">
        <is>
          <t>广州集泰化工股份有限公司</t>
        </is>
      </c>
      <c r="B62" s="35" t="inlineStr">
        <is>
          <t>G140201052</t>
        </is>
      </c>
      <c r="C62" s="36" t="inlineStr">
        <is>
          <t>广州杜韦贸易有限公司</t>
        </is>
      </c>
      <c r="D62" s="36" t="n"/>
      <c r="E62" s="36" t="n">
        <v>2</v>
      </c>
      <c r="F62" s="37" t="n">
        <v>46172</v>
      </c>
      <c r="G62" s="36" t="inlineStr">
        <is>
          <t>曹星</t>
        </is>
      </c>
      <c r="H62" s="36" t="n"/>
      <c r="I62" s="36" t="inlineStr">
        <is>
          <t>防霉剂</t>
        </is>
      </c>
      <c r="J62" s="36" t="n">
        <v>30</v>
      </c>
      <c r="K62" s="36" t="n">
        <v>120</v>
      </c>
      <c r="L62" s="44" t="n">
        <v>0</v>
      </c>
      <c r="M62" s="36" t="inlineStr">
        <is>
          <t>电汇</t>
        </is>
      </c>
      <c r="N62" s="36" t="n"/>
      <c r="O62" s="61" t="n">
        <v>1602</v>
      </c>
      <c r="P62" s="61" t="n"/>
      <c r="Q62" s="36" t="n"/>
      <c r="R62" s="36" t="n"/>
      <c r="S62" s="36" t="n"/>
      <c r="T62" s="36" t="n"/>
      <c r="U62" s="36" t="n"/>
      <c r="V62" s="36" t="n"/>
      <c r="W62" s="36" t="n">
        <v>1602</v>
      </c>
      <c r="X62" s="36" t="n"/>
      <c r="Y62" s="61" t="n">
        <v>2670</v>
      </c>
      <c r="Z62" s="61" t="n">
        <v>890</v>
      </c>
      <c r="AA62" s="61" t="n">
        <v>0</v>
      </c>
      <c r="AB62" s="61" t="n">
        <v>0</v>
      </c>
      <c r="AC62" s="75" t="n">
        <v>890</v>
      </c>
      <c r="AD62" s="66" t="n">
        <v>890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/>
      <c r="AN62" s="61" t="n">
        <v>890</v>
      </c>
      <c r="AO62" s="61" t="n">
        <v>0</v>
      </c>
      <c r="AP62" s="61" t="n">
        <v>0</v>
      </c>
      <c r="AQ62" s="61" t="n">
        <v>890</v>
      </c>
      <c r="AR62" s="61" t="n">
        <v>890</v>
      </c>
      <c r="AS62" s="61" t="n">
        <v>0</v>
      </c>
      <c r="AT62" s="61" t="n">
        <v>890</v>
      </c>
      <c r="AU62" s="61" t="n">
        <v>5440</v>
      </c>
      <c r="AV62" s="61" t="n">
        <v>3165</v>
      </c>
      <c r="AW62" s="61" t="n">
        <v>0</v>
      </c>
      <c r="AX62" s="61" t="n">
        <v>890</v>
      </c>
      <c r="AY62" s="61" t="n">
        <v>2720</v>
      </c>
      <c r="AZ62" s="61" t="n">
        <v>0</v>
      </c>
      <c r="BA62" s="61" t="inlineStr">
        <is>
          <t>否</t>
        </is>
      </c>
      <c r="BB62" s="61" t="n">
        <v>0</v>
      </c>
      <c r="BC62" s="61" t="n">
        <v>10385</v>
      </c>
      <c r="BD62" s="61" t="n">
        <v>0</v>
      </c>
      <c r="BE62" s="36" t="inlineStr">
        <is>
          <t>曹星</t>
        </is>
      </c>
      <c r="BF62" s="61" t="n">
        <v>890</v>
      </c>
      <c r="BG62" s="61" t="n">
        <v>0</v>
      </c>
      <c r="BH62" s="61" t="n">
        <v>0</v>
      </c>
      <c r="BI62" s="61" t="n">
        <v>890</v>
      </c>
      <c r="BJ62" s="61" t="n">
        <v>890</v>
      </c>
      <c r="BK62" s="61" t="n">
        <v>0</v>
      </c>
      <c r="BL62" s="61" t="n">
        <v>0</v>
      </c>
      <c r="BM62" s="36" t="n">
        <v>890</v>
      </c>
      <c r="BN62" s="36" t="n">
        <v>0</v>
      </c>
      <c r="BO62" s="36" t="n">
        <v>10385</v>
      </c>
      <c r="BP62" s="36" t="n">
        <v>0</v>
      </c>
      <c r="BQ62" s="36" t="n">
        <v>2670</v>
      </c>
      <c r="BR62" s="36" t="n">
        <v>0</v>
      </c>
    </row>
    <row r="63" customFormat="1" s="5">
      <c r="A63" s="34" t="inlineStr">
        <is>
          <t>广州集泰化工股份有限公司</t>
        </is>
      </c>
      <c r="B63" s="35" t="inlineStr">
        <is>
          <t>G140201062</t>
        </is>
      </c>
      <c r="C63" s="36" t="inlineStr">
        <is>
          <t>广州市首牵化工有限公司</t>
        </is>
      </c>
      <c r="D63" s="36" t="n"/>
      <c r="E63" s="36" t="n">
        <v>1</v>
      </c>
      <c r="F63" s="37" t="n">
        <v>46172</v>
      </c>
      <c r="G63" s="36" t="inlineStr">
        <is>
          <t>曹星</t>
        </is>
      </c>
      <c r="H63" s="36" t="n"/>
      <c r="I63" s="36" t="inlineStr">
        <is>
          <t>碳黑</t>
        </is>
      </c>
      <c r="J63" s="36" t="n">
        <v>60</v>
      </c>
      <c r="K63" s="36" t="n">
        <v>90</v>
      </c>
      <c r="L63" s="44" t="n">
        <v>0</v>
      </c>
      <c r="M63" s="36" t="inlineStr">
        <is>
          <t>银承/电汇</t>
        </is>
      </c>
      <c r="N63" s="36" t="n"/>
      <c r="O63" s="61" t="n">
        <v>272063.736</v>
      </c>
      <c r="P63" s="61" t="n"/>
      <c r="Q63" s="36" t="n"/>
      <c r="R63" s="36" t="n">
        <v>272063.736</v>
      </c>
      <c r="S63" s="36" t="n"/>
      <c r="T63" s="36" t="n"/>
      <c r="U63" s="36" t="n"/>
      <c r="V63" s="36" t="n"/>
      <c r="W63" s="36" t="n"/>
      <c r="X63" s="36" t="n"/>
      <c r="Y63" s="61" t="n">
        <v>502453.04</v>
      </c>
      <c r="Z63" s="61" t="n">
        <v>159000</v>
      </c>
      <c r="AA63" s="61" t="n">
        <v>41160</v>
      </c>
      <c r="AB63" s="61" t="n">
        <v>0</v>
      </c>
      <c r="AC63" s="97" t="n">
        <v>93600</v>
      </c>
      <c r="AD63" s="66" t="n">
        <v>22440</v>
      </c>
      <c r="AE63" s="66" t="n">
        <v>186253.04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/>
      <c r="AN63" s="61" t="n">
        <v>159000</v>
      </c>
      <c r="AO63" s="61" t="n">
        <v>41160</v>
      </c>
      <c r="AP63" s="61" t="n">
        <v>0</v>
      </c>
      <c r="AQ63" s="61" t="n">
        <v>93600</v>
      </c>
      <c r="AR63" s="61" t="n">
        <v>22440</v>
      </c>
      <c r="AS63" s="61" t="n">
        <v>187200</v>
      </c>
      <c r="AT63" s="61" t="n">
        <v>113400</v>
      </c>
      <c r="AU63" s="61" t="n">
        <v>229440</v>
      </c>
      <c r="AV63" s="61" t="n">
        <v>94235.03999999999</v>
      </c>
      <c r="AW63" s="61" t="n">
        <v>69890</v>
      </c>
      <c r="AX63" s="61" t="n">
        <v>125500</v>
      </c>
      <c r="AY63" s="61" t="n">
        <v>105100</v>
      </c>
      <c r="AZ63" s="61" t="n">
        <v>125500</v>
      </c>
      <c r="BA63" s="61" t="inlineStr">
        <is>
          <t>否</t>
        </is>
      </c>
      <c r="BB63" s="61" t="n">
        <v>141000</v>
      </c>
      <c r="BC63" s="61" t="n">
        <v>481000</v>
      </c>
      <c r="BD63" s="61" t="n">
        <v>0</v>
      </c>
      <c r="BE63" s="36" t="inlineStr">
        <is>
          <t>曹星</t>
        </is>
      </c>
      <c r="BF63" s="61" t="n">
        <v>159000</v>
      </c>
      <c r="BG63" s="61" t="n">
        <v>41160</v>
      </c>
      <c r="BH63" s="61" t="n">
        <v>0</v>
      </c>
      <c r="BI63" s="61" t="n">
        <v>93600</v>
      </c>
      <c r="BJ63" s="61" t="n">
        <v>22440</v>
      </c>
      <c r="BK63" s="61" t="n">
        <v>186253.04</v>
      </c>
      <c r="BL63" s="61" t="n">
        <v>0</v>
      </c>
      <c r="BM63" s="36" t="n">
        <v>159000</v>
      </c>
      <c r="BN63" s="36" t="n">
        <v>41160</v>
      </c>
      <c r="BO63" s="36" t="n">
        <v>481000</v>
      </c>
      <c r="BP63" s="36" t="n">
        <v>141000</v>
      </c>
      <c r="BQ63" s="36" t="n">
        <v>502453.04</v>
      </c>
      <c r="BR63" s="36" t="n">
        <v>0</v>
      </c>
    </row>
    <row r="64" customFormat="1" s="5">
      <c r="A64" s="34" t="inlineStr">
        <is>
          <t>广州集泰化工股份有限公司</t>
        </is>
      </c>
      <c r="B64" s="35" t="inlineStr">
        <is>
          <t>G140201065</t>
        </is>
      </c>
      <c r="C64" s="36" t="inlineStr">
        <is>
          <t>广州市遂悦化工有限公司</t>
        </is>
      </c>
      <c r="D64" s="36" t="n"/>
      <c r="E64" s="36" t="n">
        <v>0</v>
      </c>
      <c r="F64" s="37" t="n">
        <v>46172</v>
      </c>
      <c r="G64" s="36" t="inlineStr">
        <is>
          <t>曹星</t>
        </is>
      </c>
      <c r="H64" s="36" t="n"/>
      <c r="I64" s="36" t="inlineStr">
        <is>
          <t>溶剂</t>
        </is>
      </c>
      <c r="J64" s="36" t="n">
        <v>45</v>
      </c>
      <c r="K64" s="36" t="n">
        <v>45</v>
      </c>
      <c r="L64" s="44" t="n">
        <v>0</v>
      </c>
      <c r="M64" s="36" t="inlineStr">
        <is>
          <t>电汇</t>
        </is>
      </c>
      <c r="N64" s="36" t="n"/>
      <c r="O64" s="61" t="n"/>
      <c r="P64" s="61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0</v>
      </c>
      <c r="AM64" s="61" t="n"/>
      <c r="AN64" s="61" t="n">
        <v>0</v>
      </c>
      <c r="AO64" s="61" t="n">
        <v>0</v>
      </c>
      <c r="AP64" s="61" t="n">
        <v>0</v>
      </c>
      <c r="AQ64" s="61" t="n">
        <v>0</v>
      </c>
      <c r="AR64" s="61" t="n">
        <v>18340</v>
      </c>
      <c r="AS64" s="61" t="n">
        <v>34960</v>
      </c>
      <c r="AT64" s="61" t="n">
        <v>0</v>
      </c>
      <c r="AU64" s="61" t="n">
        <v>13764</v>
      </c>
      <c r="AV64" s="61" t="n">
        <v>28268</v>
      </c>
      <c r="AW64" s="61" t="n">
        <v>23240</v>
      </c>
      <c r="AX64" s="61" t="n">
        <v>59682</v>
      </c>
      <c r="AY64" s="61" t="n">
        <v>0</v>
      </c>
      <c r="AZ64" s="61" t="n">
        <v>20920</v>
      </c>
      <c r="BA64" s="61" t="inlineStr">
        <is>
          <t>否</t>
        </is>
      </c>
      <c r="BB64" s="61" t="n">
        <v>0</v>
      </c>
      <c r="BC64" s="61" t="n">
        <v>53300</v>
      </c>
      <c r="BD64" s="61" t="n">
        <v>8379</v>
      </c>
      <c r="BE64" s="36" t="inlineStr">
        <is>
          <t>曹星</t>
        </is>
      </c>
      <c r="BF64" s="61" t="n">
        <v>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>
        <v>0</v>
      </c>
      <c r="BL64" s="61" t="n">
        <v>0</v>
      </c>
      <c r="BM64" s="36" t="n">
        <v>0</v>
      </c>
      <c r="BN64" s="36" t="n">
        <v>0</v>
      </c>
      <c r="BO64" s="36" t="n">
        <v>53300</v>
      </c>
      <c r="BP64" s="36" t="n">
        <v>0</v>
      </c>
      <c r="BQ64" s="36" t="n">
        <v>0</v>
      </c>
      <c r="BR64" s="36" t="n">
        <v>8379</v>
      </c>
    </row>
    <row r="65" customFormat="1" s="5">
      <c r="A65" s="34" t="inlineStr">
        <is>
          <t>广州集泰化工股份有限公司</t>
        </is>
      </c>
      <c r="B65" s="35" t="inlineStr">
        <is>
          <t>G140201068</t>
        </is>
      </c>
      <c r="C65" s="36" t="inlineStr">
        <is>
          <t>广州市科峰化工有限公司</t>
        </is>
      </c>
      <c r="D65" s="36" t="n"/>
      <c r="E65" s="36" t="n">
        <v>2</v>
      </c>
      <c r="F65" s="37" t="n">
        <v>46172</v>
      </c>
      <c r="G65" s="36" t="inlineStr">
        <is>
          <t>彭时莎</t>
        </is>
      </c>
      <c r="H65" s="36" t="n"/>
      <c r="I65" s="36" t="inlineStr">
        <is>
          <t>中和剂</t>
        </is>
      </c>
      <c r="J65" s="36" t="n">
        <v>90</v>
      </c>
      <c r="K65" s="36" t="n">
        <v>120</v>
      </c>
      <c r="L65" s="44" t="n">
        <v>0</v>
      </c>
      <c r="M65" s="36" t="inlineStr">
        <is>
          <t>电汇</t>
        </is>
      </c>
      <c r="N65" s="36" t="n"/>
      <c r="O65" s="61" t="n">
        <v>189371.25</v>
      </c>
      <c r="P65" s="61" t="n"/>
      <c r="Q65" s="36" t="n"/>
      <c r="R65" s="36" t="n"/>
      <c r="S65" s="36" t="n">
        <v>189371.25</v>
      </c>
      <c r="T65" s="36" t="n"/>
      <c r="U65" s="36" t="n"/>
      <c r="V65" s="36" t="n"/>
      <c r="W65" s="36" t="n"/>
      <c r="X65" s="36" t="n"/>
      <c r="Y65" s="61" t="n">
        <v>298657.5</v>
      </c>
      <c r="Z65" s="61" t="n">
        <v>88245</v>
      </c>
      <c r="AA65" s="61" t="n">
        <v>0</v>
      </c>
      <c r="AB65" s="61" t="n">
        <v>0</v>
      </c>
      <c r="AC65" s="61" t="n">
        <v>5040</v>
      </c>
      <c r="AD65" s="98" t="n">
        <v>61560</v>
      </c>
      <c r="AE65" s="66" t="n">
        <v>143812.5</v>
      </c>
      <c r="AF65" s="61" t="n">
        <v>0</v>
      </c>
      <c r="AG65" s="61" t="n">
        <v>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/>
      <c r="AN65" s="61" t="n">
        <v>88245</v>
      </c>
      <c r="AO65" s="61" t="n">
        <v>0</v>
      </c>
      <c r="AP65" s="61" t="n">
        <v>0</v>
      </c>
      <c r="AQ65" s="61" t="n">
        <v>5040</v>
      </c>
      <c r="AR65" s="61" t="n">
        <v>61560</v>
      </c>
      <c r="AS65" s="61" t="n">
        <v>144312.5</v>
      </c>
      <c r="AT65" s="61" t="n">
        <v>0</v>
      </c>
      <c r="AU65" s="61" t="n">
        <v>0</v>
      </c>
      <c r="AV65" s="61" t="n">
        <v>49340</v>
      </c>
      <c r="AW65" s="61" t="n">
        <v>5040</v>
      </c>
      <c r="AX65" s="61" t="n">
        <v>46080</v>
      </c>
      <c r="AY65" s="61" t="n">
        <v>41040</v>
      </c>
      <c r="AZ65" s="61" t="n">
        <v>55382.4</v>
      </c>
      <c r="BA65" s="61" t="inlineStr">
        <is>
          <t>否</t>
        </is>
      </c>
      <c r="BB65" s="61" t="n">
        <v>0</v>
      </c>
      <c r="BC65" s="61" t="n">
        <v>47000</v>
      </c>
      <c r="BD65" s="61" t="n">
        <v>0</v>
      </c>
      <c r="BE65" s="36" t="inlineStr">
        <is>
          <t>曹星</t>
        </is>
      </c>
      <c r="BF65" s="61" t="n">
        <v>88245</v>
      </c>
      <c r="BG65" s="61" t="n">
        <v>0</v>
      </c>
      <c r="BH65" s="61" t="n">
        <v>0</v>
      </c>
      <c r="BI65" s="61" t="n">
        <v>5040</v>
      </c>
      <c r="BJ65" s="61" t="n">
        <v>61560</v>
      </c>
      <c r="BK65" s="61" t="n">
        <v>143812.5</v>
      </c>
      <c r="BL65" s="61" t="n">
        <v>0</v>
      </c>
      <c r="BM65" s="36" t="n">
        <v>88245</v>
      </c>
      <c r="BN65" s="36" t="n">
        <v>0</v>
      </c>
      <c r="BO65" s="36" t="n">
        <v>47000</v>
      </c>
      <c r="BP65" s="36" t="n">
        <v>0</v>
      </c>
      <c r="BQ65" s="36" t="n">
        <v>298657.5</v>
      </c>
      <c r="BR65" s="36" t="n">
        <v>0</v>
      </c>
    </row>
    <row r="66" customFormat="1" s="5">
      <c r="A66" s="34" t="inlineStr">
        <is>
          <t>广州集泰化工股份有限公司</t>
        </is>
      </c>
      <c r="B66" s="35" t="inlineStr">
        <is>
          <t>G140201069</t>
        </is>
      </c>
      <c r="C66" s="36" t="inlineStr">
        <is>
          <t>广州市威恺莱高新材料有限公司</t>
        </is>
      </c>
      <c r="D66" s="36" t="n"/>
      <c r="E66" s="36" t="n">
        <v>2</v>
      </c>
      <c r="F66" s="37" t="n">
        <v>46172</v>
      </c>
      <c r="G66" s="36" t="inlineStr">
        <is>
          <t>彭时莎</t>
        </is>
      </c>
      <c r="H66" s="36" t="n"/>
      <c r="I66" s="36" t="inlineStr">
        <is>
          <t>分散剂</t>
        </is>
      </c>
      <c r="J66" s="36" t="n">
        <v>30</v>
      </c>
      <c r="K66" s="36" t="n">
        <v>90</v>
      </c>
      <c r="L66" s="44" t="n">
        <v>0</v>
      </c>
      <c r="M66" s="36" t="inlineStr">
        <is>
          <t>电汇</t>
        </is>
      </c>
      <c r="N66" s="36" t="n"/>
      <c r="O66" s="61" t="n">
        <v>60102</v>
      </c>
      <c r="P66" s="61" t="n"/>
      <c r="Q66" s="36" t="n"/>
      <c r="R66" s="36" t="n"/>
      <c r="S66" s="36" t="n">
        <v>60102</v>
      </c>
      <c r="T66" s="36" t="n"/>
      <c r="U66" s="36" t="n"/>
      <c r="V66" s="36" t="n"/>
      <c r="W66" s="36" t="n"/>
      <c r="X66" s="36" t="n"/>
      <c r="Y66" s="61" t="n">
        <v>66780</v>
      </c>
      <c r="Z66" s="61" t="n">
        <v>0</v>
      </c>
      <c r="AA66" s="61" t="n">
        <v>0</v>
      </c>
      <c r="AB66" s="61" t="n">
        <v>0</v>
      </c>
      <c r="AC66" s="83" t="n">
        <v>22260</v>
      </c>
      <c r="AD66" s="61" t="n">
        <v>0</v>
      </c>
      <c r="AE66" s="66" t="n">
        <v>22260</v>
      </c>
      <c r="AF66" s="61" t="n">
        <v>0</v>
      </c>
      <c r="AG66" s="61" t="n">
        <v>0</v>
      </c>
      <c r="AH66" s="61" t="n">
        <v>0</v>
      </c>
      <c r="AI66" s="66" t="n">
        <v>22260</v>
      </c>
      <c r="AJ66" s="61" t="n">
        <v>0</v>
      </c>
      <c r="AK66" s="61" t="n">
        <v>0</v>
      </c>
      <c r="AL66" s="61" t="n">
        <v>0</v>
      </c>
      <c r="AM66" s="61" t="n"/>
      <c r="AN66" s="61" t="n">
        <v>0</v>
      </c>
      <c r="AO66" s="61" t="n">
        <v>0</v>
      </c>
      <c r="AP66" s="61" t="n">
        <v>0</v>
      </c>
      <c r="AQ66" s="61" t="n">
        <v>22260</v>
      </c>
      <c r="AR66" s="61" t="n">
        <v>0</v>
      </c>
      <c r="AS66" s="61" t="n">
        <v>22260</v>
      </c>
      <c r="AT66" s="61" t="n">
        <v>0</v>
      </c>
      <c r="AU66" s="61" t="n">
        <v>0</v>
      </c>
      <c r="AV66" s="61" t="n">
        <v>0</v>
      </c>
      <c r="AW66" s="61" t="n">
        <v>22260</v>
      </c>
      <c r="AX66" s="61" t="n">
        <v>0</v>
      </c>
      <c r="AY66" s="61" t="n">
        <v>22260</v>
      </c>
      <c r="AZ66" s="61" t="n">
        <v>0</v>
      </c>
      <c r="BA66" s="61" t="inlineStr">
        <is>
          <t>否</t>
        </is>
      </c>
      <c r="BB66" s="61" t="n">
        <v>0</v>
      </c>
      <c r="BC66" s="61" t="n">
        <v>0</v>
      </c>
      <c r="BD66" s="61" t="n">
        <v>0</v>
      </c>
      <c r="BE66" s="36" t="inlineStr">
        <is>
          <t>曹星</t>
        </is>
      </c>
      <c r="BF66" s="61" t="n">
        <v>0</v>
      </c>
      <c r="BG66" s="61" t="n">
        <v>0</v>
      </c>
      <c r="BH66" s="61" t="n">
        <v>0</v>
      </c>
      <c r="BI66" s="61" t="n">
        <v>22260</v>
      </c>
      <c r="BJ66" s="61" t="n">
        <v>0</v>
      </c>
      <c r="BK66" s="61" t="n">
        <v>22260</v>
      </c>
      <c r="BL66" s="61" t="n">
        <v>22260</v>
      </c>
      <c r="BM66" s="36" t="n">
        <v>0</v>
      </c>
      <c r="BN66" s="36" t="n">
        <v>0</v>
      </c>
      <c r="BO66" s="36" t="n">
        <v>0</v>
      </c>
      <c r="BP66" s="36" t="n">
        <v>0</v>
      </c>
      <c r="BQ66" s="36" t="n">
        <v>66780</v>
      </c>
      <c r="BR66" s="36" t="n">
        <v>0</v>
      </c>
    </row>
    <row r="67" customFormat="1" s="5">
      <c r="A67" s="34" t="inlineStr">
        <is>
          <t>广州集泰化工股份有限公司</t>
        </is>
      </c>
      <c r="B67" s="35" t="inlineStr">
        <is>
          <t>G140201085</t>
        </is>
      </c>
      <c r="C67" s="36" t="inlineStr">
        <is>
          <t>广州君江贸易有限公司</t>
        </is>
      </c>
      <c r="D67" s="36" t="n"/>
      <c r="E67" s="36" t="n">
        <v>2</v>
      </c>
      <c r="F67" s="37" t="n">
        <v>46172</v>
      </c>
      <c r="G67" s="36" t="inlineStr">
        <is>
          <t>彭时莎</t>
        </is>
      </c>
      <c r="H67" s="36" t="n"/>
      <c r="I67" s="36" t="inlineStr">
        <is>
          <t>导电粉</t>
        </is>
      </c>
      <c r="J67" s="36" t="n">
        <v>90</v>
      </c>
      <c r="K67" s="36" t="n">
        <v>150</v>
      </c>
      <c r="L67" s="44" t="n">
        <v>0</v>
      </c>
      <c r="M67" s="36" t="inlineStr">
        <is>
          <t>商承/银承/电汇/建信</t>
        </is>
      </c>
      <c r="N67" s="36" t="n"/>
      <c r="O67" s="61" t="n">
        <v>199961.703</v>
      </c>
      <c r="P67" s="61" t="n"/>
      <c r="Q67" s="36" t="n"/>
      <c r="R67" s="36" t="n"/>
      <c r="S67" s="36" t="n">
        <v>199961.703</v>
      </c>
      <c r="T67" s="36" t="n"/>
      <c r="U67" s="36" t="n"/>
      <c r="V67" s="36" t="n"/>
      <c r="W67" s="36" t="n"/>
      <c r="X67" s="36" t="n"/>
      <c r="Y67" s="61" t="n">
        <v>718459.67</v>
      </c>
      <c r="Z67" s="61" t="n">
        <v>0</v>
      </c>
      <c r="AA67" s="61" t="n">
        <v>496280</v>
      </c>
      <c r="AB67" s="61" t="n">
        <v>0</v>
      </c>
      <c r="AC67" s="61" t="n">
        <v>0</v>
      </c>
      <c r="AD67" s="61" t="n">
        <v>0</v>
      </c>
      <c r="AE67" s="99" t="n">
        <v>220000</v>
      </c>
      <c r="AF67" s="61" t="n">
        <v>0</v>
      </c>
      <c r="AG67" s="66" t="n">
        <v>2179.67000000004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/>
      <c r="AN67" s="61" t="n">
        <v>0</v>
      </c>
      <c r="AO67" s="61" t="n">
        <v>496280</v>
      </c>
      <c r="AP67" s="61" t="n">
        <v>0</v>
      </c>
      <c r="AQ67" s="61" t="n">
        <v>0</v>
      </c>
      <c r="AR67" s="61" t="n">
        <v>0</v>
      </c>
      <c r="AS67" s="61" t="n">
        <v>220000</v>
      </c>
      <c r="AT67" s="61" t="n">
        <v>0</v>
      </c>
      <c r="AU67" s="61" t="n">
        <v>220000</v>
      </c>
      <c r="AV67" s="61" t="n">
        <v>0</v>
      </c>
      <c r="AW67" s="61" t="n">
        <v>660900</v>
      </c>
      <c r="AX67" s="61" t="n">
        <v>0</v>
      </c>
      <c r="AY67" s="61" t="n">
        <v>440000</v>
      </c>
      <c r="AZ67" s="61" t="n">
        <v>440000</v>
      </c>
      <c r="BA67" s="61" t="inlineStr">
        <is>
          <t>否</t>
        </is>
      </c>
      <c r="BB67" s="61" t="n">
        <v>0</v>
      </c>
      <c r="BC67" s="61" t="n">
        <v>174476</v>
      </c>
      <c r="BD67" s="61" t="n">
        <v>66000</v>
      </c>
      <c r="BE67" s="36" t="inlineStr">
        <is>
          <t>曹星</t>
        </is>
      </c>
      <c r="BF67" s="61" t="n">
        <v>0</v>
      </c>
      <c r="BG67" s="61" t="n">
        <v>496280</v>
      </c>
      <c r="BH67" s="61" t="n">
        <v>0</v>
      </c>
      <c r="BI67" s="61" t="n">
        <v>0</v>
      </c>
      <c r="BJ67" s="61" t="n">
        <v>0</v>
      </c>
      <c r="BK67" s="61" t="n">
        <v>220000</v>
      </c>
      <c r="BL67" s="61" t="n">
        <v>2179.67000000004</v>
      </c>
      <c r="BM67" s="36" t="n">
        <v>0</v>
      </c>
      <c r="BN67" s="36" t="n">
        <v>496280</v>
      </c>
      <c r="BO67" s="36" t="n">
        <v>174476</v>
      </c>
      <c r="BP67" s="36" t="n">
        <v>0</v>
      </c>
      <c r="BQ67" s="36" t="n">
        <v>718459.67</v>
      </c>
      <c r="BR67" s="36" t="n">
        <v>66000</v>
      </c>
    </row>
    <row r="68" customFormat="1" s="5">
      <c r="A68" s="34" t="inlineStr">
        <is>
          <t>广州集泰化工股份有限公司</t>
        </is>
      </c>
      <c r="B68" s="35" t="inlineStr">
        <is>
          <t>G140201090</t>
        </is>
      </c>
      <c r="C68" s="36" t="inlineStr">
        <is>
          <t>佛山市诚元贸易有限公司</t>
        </is>
      </c>
      <c r="D68" s="36" t="n"/>
      <c r="E68" s="36" t="n">
        <v>2</v>
      </c>
      <c r="F68" s="37" t="n">
        <v>46172</v>
      </c>
      <c r="G68" s="36" t="inlineStr">
        <is>
          <t>彭时莎</t>
        </is>
      </c>
      <c r="H68" s="36" t="n"/>
      <c r="I68" s="36" t="inlineStr">
        <is>
          <t>色浆</t>
        </is>
      </c>
      <c r="J68" s="36" t="n">
        <v>30</v>
      </c>
      <c r="K68" s="36" t="n">
        <v>90</v>
      </c>
      <c r="L68" s="36" t="n">
        <v>100000</v>
      </c>
      <c r="M68" s="36" t="inlineStr">
        <is>
          <t>电汇/银承</t>
        </is>
      </c>
      <c r="N68" s="36" t="n"/>
      <c r="O68" s="61" t="n">
        <v>29430</v>
      </c>
      <c r="P68" s="61" t="n"/>
      <c r="Q68" s="36" t="n"/>
      <c r="R68" s="36" t="n"/>
      <c r="S68" s="36" t="n"/>
      <c r="T68" s="36" t="n"/>
      <c r="U68" s="36" t="n"/>
      <c r="V68" s="36" t="n"/>
      <c r="W68" s="36" t="n">
        <v>29430</v>
      </c>
      <c r="X68" s="36" t="n"/>
      <c r="Y68" s="61" t="n">
        <v>65400</v>
      </c>
      <c r="Z68" s="61" t="n">
        <v>25500</v>
      </c>
      <c r="AA68" s="61" t="n">
        <v>7200</v>
      </c>
      <c r="AB68" s="61" t="n">
        <v>0</v>
      </c>
      <c r="AC68" s="67" t="n">
        <v>32700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/>
      <c r="AN68" s="61" t="n">
        <v>25500</v>
      </c>
      <c r="AO68" s="61" t="n">
        <v>7200</v>
      </c>
      <c r="AP68" s="61" t="n">
        <v>0</v>
      </c>
      <c r="AQ68" s="61" t="n">
        <v>32700</v>
      </c>
      <c r="AR68" s="61" t="n">
        <v>0</v>
      </c>
      <c r="AS68" s="61" t="n">
        <v>7200</v>
      </c>
      <c r="AT68" s="61" t="n">
        <v>0</v>
      </c>
      <c r="AU68" s="61" t="n">
        <v>32700</v>
      </c>
      <c r="AV68" s="61" t="n">
        <v>22500</v>
      </c>
      <c r="AW68" s="61" t="n">
        <v>0</v>
      </c>
      <c r="AX68" s="61" t="n">
        <v>22500</v>
      </c>
      <c r="AY68" s="61" t="n">
        <v>0</v>
      </c>
      <c r="AZ68" s="61" t="n">
        <v>7200</v>
      </c>
      <c r="BA68" s="61" t="inlineStr">
        <is>
          <t>否</t>
        </is>
      </c>
      <c r="BB68" s="61" t="n">
        <v>7200</v>
      </c>
      <c r="BC68" s="61" t="n">
        <v>39454</v>
      </c>
      <c r="BD68" s="61" t="n">
        <v>0</v>
      </c>
      <c r="BE68" s="36" t="inlineStr">
        <is>
          <t>曹星</t>
        </is>
      </c>
      <c r="BF68" s="61" t="n">
        <v>25500</v>
      </c>
      <c r="BG68" s="61" t="n">
        <v>7200</v>
      </c>
      <c r="BH68" s="61" t="n">
        <v>0</v>
      </c>
      <c r="BI68" s="61" t="n">
        <v>32700</v>
      </c>
      <c r="BJ68" s="61" t="n">
        <v>0</v>
      </c>
      <c r="BK68" s="61" t="n">
        <v>0</v>
      </c>
      <c r="BL68" s="61" t="n">
        <v>0</v>
      </c>
      <c r="BM68" s="36" t="n">
        <v>25500</v>
      </c>
      <c r="BN68" s="36" t="n">
        <v>7200</v>
      </c>
      <c r="BO68" s="36" t="n">
        <v>39454</v>
      </c>
      <c r="BP68" s="36" t="n">
        <v>7200</v>
      </c>
      <c r="BQ68" s="36" t="n">
        <v>65400</v>
      </c>
      <c r="BR68" s="36" t="n">
        <v>0</v>
      </c>
    </row>
    <row r="69" customFormat="1" s="5">
      <c r="A69" s="34" t="inlineStr">
        <is>
          <t>广州集泰化工股份有限公司</t>
        </is>
      </c>
      <c r="B69" s="35" t="inlineStr">
        <is>
          <t>G140201097</t>
        </is>
      </c>
      <c r="C69" s="36" t="inlineStr">
        <is>
          <t>广州市福恒嘉邦建材有限公司</t>
        </is>
      </c>
      <c r="D69" s="36" t="n"/>
      <c r="E69" s="44" t="n">
        <v>1</v>
      </c>
      <c r="F69" s="37" t="n">
        <v>46172</v>
      </c>
      <c r="G69" s="36" t="inlineStr">
        <is>
          <t>彭时莎</t>
        </is>
      </c>
      <c r="H69" s="36" t="n"/>
      <c r="I69" s="36" t="inlineStr">
        <is>
          <t>外购真石漆</t>
        </is>
      </c>
      <c r="J69" s="36" t="n">
        <v>30</v>
      </c>
      <c r="K69" s="36" t="n">
        <v>90</v>
      </c>
      <c r="L69" s="44" t="n">
        <v>0</v>
      </c>
      <c r="M69" s="36" t="inlineStr">
        <is>
          <t>银承/电汇</t>
        </is>
      </c>
      <c r="N69" s="36" t="n"/>
      <c r="O69" s="61" t="n"/>
      <c r="P69" s="61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61" t="n">
        <v>2311.5</v>
      </c>
      <c r="Z69" s="61" t="n">
        <v>2311.5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/>
      <c r="AN69" s="61" t="n">
        <v>2311.5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0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0</v>
      </c>
      <c r="BA69" s="61" t="inlineStr">
        <is>
          <t>否</t>
        </is>
      </c>
      <c r="BB69" s="61" t="n">
        <v>0</v>
      </c>
      <c r="BC69" s="61" t="n">
        <v>0</v>
      </c>
      <c r="BD69" s="61" t="n">
        <v>0</v>
      </c>
      <c r="BE69" s="36" t="inlineStr">
        <is>
          <t>曹星</t>
        </is>
      </c>
      <c r="BF69" s="61" t="n">
        <v>2311.5</v>
      </c>
      <c r="BG69" s="61" t="n">
        <v>0</v>
      </c>
      <c r="BH69" s="61" t="n">
        <v>0</v>
      </c>
      <c r="BI69" s="61" t="n">
        <v>0</v>
      </c>
      <c r="BJ69" s="61" t="n">
        <v>0</v>
      </c>
      <c r="BK69" s="61" t="n">
        <v>0</v>
      </c>
      <c r="BL69" s="61" t="n">
        <v>0</v>
      </c>
      <c r="BM69" s="36" t="n">
        <v>2311.5</v>
      </c>
      <c r="BN69" s="36" t="n">
        <v>0</v>
      </c>
      <c r="BO69" s="36" t="n">
        <v>0</v>
      </c>
      <c r="BP69" s="36" t="n">
        <v>0</v>
      </c>
      <c r="BQ69" s="36" t="n">
        <v>2311.5</v>
      </c>
      <c r="BR69" s="36" t="n">
        <v>0</v>
      </c>
    </row>
    <row r="70" customFormat="1" s="5">
      <c r="A70" s="34" t="inlineStr">
        <is>
          <t>广州集泰化工股份有限公司</t>
        </is>
      </c>
      <c r="B70" s="35" t="inlineStr">
        <is>
          <t>G140201098</t>
        </is>
      </c>
      <c r="C70" s="36" t="inlineStr">
        <is>
          <t>佛山市昭景环保科技有限公司</t>
        </is>
      </c>
      <c r="D70" s="36" t="n"/>
      <c r="E70" s="36" t="n">
        <v>2</v>
      </c>
      <c r="F70" s="37" t="n">
        <v>46172</v>
      </c>
      <c r="G70" s="36" t="inlineStr">
        <is>
          <t>彭时莎</t>
        </is>
      </c>
      <c r="H70" s="36" t="n"/>
      <c r="I70" s="36" t="inlineStr">
        <is>
          <t>增塑剂</t>
        </is>
      </c>
      <c r="J70" s="36" t="n">
        <v>30</v>
      </c>
      <c r="K70" s="36" t="n">
        <v>60</v>
      </c>
      <c r="L70" s="44" t="n">
        <v>0</v>
      </c>
      <c r="M70" s="36" t="inlineStr">
        <is>
          <t>电汇</t>
        </is>
      </c>
      <c r="N70" s="36" t="n"/>
      <c r="O70" s="61" t="n"/>
      <c r="P70" s="61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61" t="n">
        <v>-100</v>
      </c>
      <c r="Z70" s="61" t="n">
        <v>-100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0</v>
      </c>
      <c r="AJ70" s="61" t="n">
        <v>0</v>
      </c>
      <c r="AK70" s="61" t="n">
        <v>0</v>
      </c>
      <c r="AL70" s="61" t="n">
        <v>0</v>
      </c>
      <c r="AM70" s="61" t="n"/>
      <c r="AN70" s="61" t="n">
        <v>0</v>
      </c>
      <c r="AO70" s="61" t="n">
        <v>0</v>
      </c>
      <c r="AP70" s="61" t="n">
        <v>625</v>
      </c>
      <c r="AQ70" s="61" t="n">
        <v>0</v>
      </c>
      <c r="AR70" s="61" t="n">
        <v>625</v>
      </c>
      <c r="AS70" s="61" t="n">
        <v>0</v>
      </c>
      <c r="AT70" s="61" t="n">
        <v>10320</v>
      </c>
      <c r="AU70" s="61" t="n">
        <v>0</v>
      </c>
      <c r="AV70" s="61" t="n">
        <v>1350</v>
      </c>
      <c r="AW70" s="61" t="n">
        <v>0</v>
      </c>
      <c r="AX70" s="61" t="n">
        <v>0</v>
      </c>
      <c r="AY70" s="61" t="n">
        <v>725</v>
      </c>
      <c r="AZ70" s="61" t="n">
        <v>1250</v>
      </c>
      <c r="BA70" s="61" t="inlineStr">
        <is>
          <t>否</t>
        </is>
      </c>
      <c r="BB70" s="61" t="n">
        <v>0</v>
      </c>
      <c r="BC70" s="61" t="n">
        <v>13020</v>
      </c>
      <c r="BD70" s="61" t="n">
        <v>3900</v>
      </c>
      <c r="BE70" s="36" t="inlineStr">
        <is>
          <t>曹星</t>
        </is>
      </c>
      <c r="BF70" s="61" t="n">
        <v>-100</v>
      </c>
      <c r="BG70" s="61" t="n">
        <v>0</v>
      </c>
      <c r="BH70" s="61" t="n">
        <v>0</v>
      </c>
      <c r="BI70" s="61" t="n">
        <v>0</v>
      </c>
      <c r="BJ70" s="61" t="n">
        <v>0</v>
      </c>
      <c r="BK70" s="61" t="n">
        <v>0</v>
      </c>
      <c r="BL70" s="61" t="n">
        <v>0</v>
      </c>
      <c r="BM70" s="36" t="n">
        <v>0</v>
      </c>
      <c r="BN70" s="36" t="n">
        <v>0</v>
      </c>
      <c r="BO70" s="36" t="n">
        <v>13020</v>
      </c>
      <c r="BP70" s="36" t="n">
        <v>0</v>
      </c>
      <c r="BQ70" s="36" t="n">
        <v>-100</v>
      </c>
      <c r="BR70" s="36" t="n">
        <v>3900</v>
      </c>
    </row>
    <row r="71" customFormat="1" s="5">
      <c r="A71" s="34" t="inlineStr">
        <is>
          <t>广州集泰化工股份有限公司</t>
        </is>
      </c>
      <c r="B71" s="35" t="inlineStr">
        <is>
          <t>G140202001</t>
        </is>
      </c>
      <c r="C71" s="36" t="inlineStr">
        <is>
          <t>广西贺州市科隆粉体有限公司</t>
        </is>
      </c>
      <c r="D71" s="36" t="n"/>
      <c r="E71" s="36" t="n">
        <v>1</v>
      </c>
      <c r="F71" s="37" t="n">
        <v>46172</v>
      </c>
      <c r="G71" s="36" t="inlineStr">
        <is>
          <t>彭时莎</t>
        </is>
      </c>
      <c r="H71" s="36" t="n"/>
      <c r="I71" s="36" t="inlineStr">
        <is>
          <t>碳酸钙</t>
        </is>
      </c>
      <c r="J71" s="36" t="n">
        <v>150</v>
      </c>
      <c r="K71" s="36" t="n">
        <v>150</v>
      </c>
      <c r="L71" s="44" t="n">
        <v>0</v>
      </c>
      <c r="M71" s="36" t="inlineStr">
        <is>
          <t>银承/电汇</t>
        </is>
      </c>
      <c r="N71" s="36" t="n"/>
      <c r="O71" s="61" t="n">
        <v>119145.771</v>
      </c>
      <c r="P71" s="61" t="n"/>
      <c r="Q71" s="36" t="n"/>
      <c r="R71" s="36" t="n">
        <v>119145.771</v>
      </c>
      <c r="S71" s="36" t="n"/>
      <c r="T71" s="36" t="n"/>
      <c r="U71" s="36" t="n"/>
      <c r="V71" s="36" t="n"/>
      <c r="W71" s="36" t="n"/>
      <c r="X71" s="36" t="n"/>
      <c r="Y71" s="61" t="n">
        <v>511139.19</v>
      </c>
      <c r="Z71" s="61" t="n">
        <v>122620</v>
      </c>
      <c r="AA71" s="61" t="n">
        <v>159080</v>
      </c>
      <c r="AB71" s="61" t="n">
        <v>29980</v>
      </c>
      <c r="AC71" s="61" t="n">
        <v>67075</v>
      </c>
      <c r="AD71" s="100" t="n">
        <v>131160</v>
      </c>
      <c r="AE71" s="66" t="n">
        <v>1224.19</v>
      </c>
      <c r="AF71" s="61" t="n">
        <v>0</v>
      </c>
      <c r="AG71" s="61" t="n">
        <v>0</v>
      </c>
      <c r="AH71" s="61" t="n">
        <v>0</v>
      </c>
      <c r="AI71" s="61" t="n">
        <v>0</v>
      </c>
      <c r="AJ71" s="61" t="n">
        <v>0</v>
      </c>
      <c r="AK71" s="61" t="n">
        <v>0</v>
      </c>
      <c r="AL71" s="61" t="n">
        <v>0</v>
      </c>
      <c r="AM71" s="61" t="n"/>
      <c r="AN71" s="61" t="n">
        <v>122620</v>
      </c>
      <c r="AO71" s="61" t="n">
        <v>159080</v>
      </c>
      <c r="AP71" s="61" t="n">
        <v>29980</v>
      </c>
      <c r="AQ71" s="61" t="n">
        <v>67075</v>
      </c>
      <c r="AR71" s="61" t="n">
        <v>131160</v>
      </c>
      <c r="AS71" s="61" t="n">
        <v>58420</v>
      </c>
      <c r="AT71" s="61" t="n">
        <v>59920</v>
      </c>
      <c r="AU71" s="61" t="n">
        <v>137370</v>
      </c>
      <c r="AV71" s="61" t="n">
        <v>0</v>
      </c>
      <c r="AW71" s="61" t="n">
        <v>179780</v>
      </c>
      <c r="AX71" s="61" t="n">
        <v>243570</v>
      </c>
      <c r="AY71" s="61" t="n">
        <v>91778</v>
      </c>
      <c r="AZ71" s="61" t="n">
        <v>184550</v>
      </c>
      <c r="BA71" s="61" t="inlineStr">
        <is>
          <t>否</t>
        </is>
      </c>
      <c r="BB71" s="61" t="n">
        <v>111636.31</v>
      </c>
      <c r="BC71" s="61" t="n">
        <v>414266.31</v>
      </c>
      <c r="BD71" s="61" t="n">
        <v>0</v>
      </c>
      <c r="BE71" s="36" t="inlineStr">
        <is>
          <t>曹星</t>
        </is>
      </c>
      <c r="BF71" s="61" t="n">
        <v>122620</v>
      </c>
      <c r="BG71" s="61" t="n">
        <v>159080</v>
      </c>
      <c r="BH71" s="61" t="n">
        <v>29980</v>
      </c>
      <c r="BI71" s="61" t="n">
        <v>67075</v>
      </c>
      <c r="BJ71" s="61" t="n">
        <v>131160</v>
      </c>
      <c r="BK71" s="61" t="n">
        <v>1224.19</v>
      </c>
      <c r="BL71" s="61" t="n">
        <v>0</v>
      </c>
      <c r="BM71" s="36" t="n">
        <v>122620</v>
      </c>
      <c r="BN71" s="36" t="n">
        <v>159080</v>
      </c>
      <c r="BO71" s="36" t="n">
        <v>414266.31</v>
      </c>
      <c r="BP71" s="36" t="n">
        <v>111636.31</v>
      </c>
      <c r="BQ71" s="36" t="n">
        <v>511139.19</v>
      </c>
      <c r="BR71" s="36" t="n">
        <v>0</v>
      </c>
    </row>
    <row r="72" customFormat="1" s="5">
      <c r="A72" s="34" t="inlineStr">
        <is>
          <t>广州集泰化工股份有限公司</t>
        </is>
      </c>
      <c r="B72" s="35" t="inlineStr">
        <is>
          <t>G140202080</t>
        </is>
      </c>
      <c r="C72" s="36" t="inlineStr">
        <is>
          <t>安徽格锐新材料科技有限公司</t>
        </is>
      </c>
      <c r="D72" s="36" t="n"/>
      <c r="E72" s="36" t="n">
        <v>2</v>
      </c>
      <c r="F72" s="37" t="n">
        <v>46172</v>
      </c>
      <c r="G72" s="36" t="inlineStr">
        <is>
          <t>彭时莎</t>
        </is>
      </c>
      <c r="H72" s="36" t="n"/>
      <c r="I72" s="36" t="inlineStr">
        <is>
          <t>硅微粉、云母粉</t>
        </is>
      </c>
      <c r="J72" s="36" t="n">
        <v>120</v>
      </c>
      <c r="K72" s="36" t="n">
        <v>120</v>
      </c>
      <c r="L72" s="36" t="n">
        <v>2000000</v>
      </c>
      <c r="M72" s="36" t="inlineStr">
        <is>
          <t>银承/电汇</t>
        </is>
      </c>
      <c r="N72" s="36" t="n"/>
      <c r="O72" s="61" t="n">
        <v>69120</v>
      </c>
      <c r="P72" s="61" t="n"/>
      <c r="Q72" s="36" t="n"/>
      <c r="R72" s="36" t="n"/>
      <c r="S72" s="36" t="n">
        <v>69120</v>
      </c>
      <c r="T72" s="36" t="n"/>
      <c r="U72" s="36" t="n"/>
      <c r="V72" s="36" t="n"/>
      <c r="W72" s="36" t="n"/>
      <c r="X72" s="36" t="n"/>
      <c r="Y72" s="61" t="n">
        <v>77220</v>
      </c>
      <c r="Z72" s="61" t="n">
        <v>420</v>
      </c>
      <c r="AA72" s="61" t="n">
        <v>0</v>
      </c>
      <c r="AB72" s="61" t="n">
        <v>0</v>
      </c>
      <c r="AC72" s="61" t="n">
        <v>0</v>
      </c>
      <c r="AD72" s="61" t="n">
        <v>0</v>
      </c>
      <c r="AE72" s="101" t="n">
        <v>22400</v>
      </c>
      <c r="AF72" s="66" t="n">
        <v>54400</v>
      </c>
      <c r="AG72" s="61" t="n">
        <v>0</v>
      </c>
      <c r="AH72" s="61" t="n">
        <v>0</v>
      </c>
      <c r="AI72" s="61" t="n">
        <v>0</v>
      </c>
      <c r="AJ72" s="61" t="n">
        <v>0</v>
      </c>
      <c r="AK72" s="61" t="n">
        <v>0</v>
      </c>
      <c r="AL72" s="61" t="n">
        <v>0</v>
      </c>
      <c r="AM72" s="61" t="n"/>
      <c r="AN72" s="61" t="n">
        <v>420</v>
      </c>
      <c r="AO72" s="61" t="n">
        <v>0</v>
      </c>
      <c r="AP72" s="61" t="n">
        <v>0</v>
      </c>
      <c r="AQ72" s="61" t="n">
        <v>0</v>
      </c>
      <c r="AR72" s="61" t="n">
        <v>0</v>
      </c>
      <c r="AS72" s="61" t="n">
        <v>22400</v>
      </c>
      <c r="AT72" s="61" t="n">
        <v>54400</v>
      </c>
      <c r="AU72" s="61" t="n">
        <v>99200</v>
      </c>
      <c r="AV72" s="61" t="n">
        <v>22400</v>
      </c>
      <c r="AW72" s="61" t="n">
        <v>33600</v>
      </c>
      <c r="AX72" s="61" t="n">
        <v>123000</v>
      </c>
      <c r="AY72" s="61" t="n">
        <v>33600</v>
      </c>
      <c r="AZ72" s="61" t="n">
        <v>153000</v>
      </c>
      <c r="BA72" s="61" t="inlineStr">
        <is>
          <t>否</t>
        </is>
      </c>
      <c r="BB72" s="61" t="n">
        <v>99400</v>
      </c>
      <c r="BC72" s="61" t="n">
        <v>151600</v>
      </c>
      <c r="BD72" s="61" t="n">
        <v>0</v>
      </c>
      <c r="BE72" s="36" t="inlineStr">
        <is>
          <t>曹星</t>
        </is>
      </c>
      <c r="BF72" s="61" t="n">
        <v>420</v>
      </c>
      <c r="BG72" s="61" t="n">
        <v>0</v>
      </c>
      <c r="BH72" s="61" t="n">
        <v>0</v>
      </c>
      <c r="BI72" s="61" t="n">
        <v>0</v>
      </c>
      <c r="BJ72" s="61" t="n">
        <v>0</v>
      </c>
      <c r="BK72" s="61" t="n">
        <v>22400</v>
      </c>
      <c r="BL72" s="61" t="n">
        <v>54400</v>
      </c>
      <c r="BM72" s="36" t="n">
        <v>420</v>
      </c>
      <c r="BN72" s="36" t="n">
        <v>0</v>
      </c>
      <c r="BO72" s="36" t="n">
        <v>151600</v>
      </c>
      <c r="BP72" s="36" t="n">
        <v>99400</v>
      </c>
      <c r="BQ72" s="36" t="n">
        <v>77220</v>
      </c>
      <c r="BR72" s="36" t="n">
        <v>0</v>
      </c>
    </row>
    <row r="73" customFormat="1" s="5">
      <c r="A73" s="34" t="inlineStr">
        <is>
          <t>广州集泰化工股份有限公司</t>
        </is>
      </c>
      <c r="B73" s="35" t="inlineStr">
        <is>
          <t>G140202082</t>
        </is>
      </c>
      <c r="C73" s="36" t="inlineStr">
        <is>
          <t>湖北汇富纳米材料股份有限公司</t>
        </is>
      </c>
      <c r="D73" s="36" t="n"/>
      <c r="E73" s="36" t="n">
        <v>0</v>
      </c>
      <c r="F73" s="37" t="n">
        <v>46172</v>
      </c>
      <c r="G73" s="36" t="inlineStr">
        <is>
          <t>彭时莎</t>
        </is>
      </c>
      <c r="H73" s="36" t="n"/>
      <c r="I73" s="36" t="inlineStr">
        <is>
          <t>气硅</t>
        </is>
      </c>
      <c r="J73" s="44" t="n">
        <v>0</v>
      </c>
      <c r="K73" s="44" t="n">
        <v>1</v>
      </c>
      <c r="L73" s="44" t="n">
        <v>0</v>
      </c>
      <c r="M73" s="36" t="inlineStr">
        <is>
          <t>电汇</t>
        </is>
      </c>
      <c r="N73" s="36" t="n"/>
      <c r="O73" s="61" t="n"/>
      <c r="P73" s="61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1" t="n">
        <v>0</v>
      </c>
      <c r="AK73" s="61" t="n">
        <v>0</v>
      </c>
      <c r="AL73" s="61" t="n">
        <v>0</v>
      </c>
      <c r="AM73" s="61" t="n"/>
      <c r="AN73" s="61" t="n">
        <v>9600</v>
      </c>
      <c r="AO73" s="61" t="n">
        <v>0</v>
      </c>
      <c r="AP73" s="61" t="n">
        <v>0</v>
      </c>
      <c r="AQ73" s="61" t="n">
        <v>0</v>
      </c>
      <c r="AR73" s="61" t="n">
        <v>28800</v>
      </c>
      <c r="AS73" s="61" t="n">
        <v>0</v>
      </c>
      <c r="AT73" s="61" t="n">
        <v>0</v>
      </c>
      <c r="AU73" s="61" t="n">
        <v>0</v>
      </c>
      <c r="AV73" s="61" t="n">
        <v>0</v>
      </c>
      <c r="AW73" s="61" t="n">
        <v>0</v>
      </c>
      <c r="AX73" s="61" t="n">
        <v>0</v>
      </c>
      <c r="AY73" s="61" t="n">
        <v>0</v>
      </c>
      <c r="AZ73" s="61" t="n">
        <v>0</v>
      </c>
      <c r="BA73" s="61" t="inlineStr">
        <is>
          <t>否</t>
        </is>
      </c>
      <c r="BB73" s="61" t="n">
        <v>0</v>
      </c>
      <c r="BC73" s="61" t="n">
        <v>9600</v>
      </c>
      <c r="BD73" s="61" t="n">
        <v>0</v>
      </c>
      <c r="BE73" s="36" t="inlineStr">
        <is>
          <t>曹星</t>
        </is>
      </c>
      <c r="BF73" s="61" t="n">
        <v>0</v>
      </c>
      <c r="BG73" s="61" t="n">
        <v>0</v>
      </c>
      <c r="BH73" s="61" t="n">
        <v>0</v>
      </c>
      <c r="BI73" s="61" t="n">
        <v>0</v>
      </c>
      <c r="BJ73" s="61" t="n">
        <v>0</v>
      </c>
      <c r="BK73" s="61" t="n">
        <v>0</v>
      </c>
      <c r="BL73" s="61" t="n">
        <v>0</v>
      </c>
      <c r="BM73" s="36" t="n">
        <v>9600</v>
      </c>
      <c r="BN73" s="36" t="n">
        <v>0</v>
      </c>
      <c r="BO73" s="36" t="n">
        <v>9600</v>
      </c>
      <c r="BP73" s="36" t="n">
        <v>0</v>
      </c>
      <c r="BQ73" s="36" t="n">
        <v>0</v>
      </c>
      <c r="BR73" s="36" t="n">
        <v>0</v>
      </c>
    </row>
    <row r="74" customFormat="1" s="5">
      <c r="A74" s="34" t="inlineStr">
        <is>
          <t>广州集泰化工股份有限公司</t>
        </is>
      </c>
      <c r="B74" s="35" t="inlineStr">
        <is>
          <t>G140801014</t>
        </is>
      </c>
      <c r="C74" s="36" t="inlineStr">
        <is>
          <t>广州化工进出口有限公司</t>
        </is>
      </c>
      <c r="D74" s="36" t="n"/>
      <c r="E74" s="36" t="n">
        <v>0</v>
      </c>
      <c r="F74" s="37" t="n">
        <v>46172</v>
      </c>
      <c r="G74" s="36" t="inlineStr">
        <is>
          <t>彭时莎</t>
        </is>
      </c>
      <c r="H74" s="36" t="n"/>
      <c r="I74" s="36" t="inlineStr">
        <is>
          <t>钛白粉</t>
        </is>
      </c>
      <c r="J74" s="36" t="n">
        <v>60</v>
      </c>
      <c r="K74" s="36" t="n">
        <v>60</v>
      </c>
      <c r="L74" s="44" t="n">
        <v>0</v>
      </c>
      <c r="M74" s="36" t="inlineStr">
        <is>
          <t>银承/电汇</t>
        </is>
      </c>
      <c r="N74" s="36" t="n"/>
      <c r="O74" s="61" t="n">
        <v>293720</v>
      </c>
      <c r="P74" s="61" t="n"/>
      <c r="Q74" s="36" t="n"/>
      <c r="R74" s="36" t="n">
        <v>293720</v>
      </c>
      <c r="S74" s="36" t="n"/>
      <c r="T74" s="36" t="n"/>
      <c r="U74" s="36" t="n"/>
      <c r="V74" s="36" t="n"/>
      <c r="W74" s="36" t="n"/>
      <c r="X74" s="36" t="n"/>
      <c r="Y74" s="61" t="n">
        <v>600720</v>
      </c>
      <c r="Z74" s="61" t="n">
        <v>307000</v>
      </c>
      <c r="AA74" s="66" t="n">
        <v>293720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1" t="n">
        <v>0</v>
      </c>
      <c r="AH74" s="61" t="n">
        <v>0</v>
      </c>
      <c r="AI74" s="61" t="n">
        <v>0</v>
      </c>
      <c r="AJ74" s="61" t="n">
        <v>0</v>
      </c>
      <c r="AK74" s="61" t="n">
        <v>0</v>
      </c>
      <c r="AL74" s="61" t="n">
        <v>0</v>
      </c>
      <c r="AM74" s="61" t="n"/>
      <c r="AN74" s="61" t="n">
        <v>307000</v>
      </c>
      <c r="AO74" s="61" t="n">
        <v>444200</v>
      </c>
      <c r="AP74" s="61" t="n">
        <v>0</v>
      </c>
      <c r="AQ74" s="61" t="n">
        <v>0</v>
      </c>
      <c r="AR74" s="61" t="n">
        <v>280000</v>
      </c>
      <c r="AS74" s="61" t="n">
        <v>296500</v>
      </c>
      <c r="AT74" s="61" t="n">
        <v>698000</v>
      </c>
      <c r="AU74" s="61" t="n">
        <v>0</v>
      </c>
      <c r="AV74" s="61" t="n">
        <v>428500</v>
      </c>
      <c r="AW74" s="61" t="n">
        <v>285000</v>
      </c>
      <c r="AX74" s="61" t="n">
        <v>160000</v>
      </c>
      <c r="AY74" s="61" t="n">
        <v>0</v>
      </c>
      <c r="AZ74" s="61" t="n">
        <v>80000</v>
      </c>
      <c r="BA74" s="61" t="inlineStr">
        <is>
          <t>否</t>
        </is>
      </c>
      <c r="BB74" s="61" t="n">
        <v>150000</v>
      </c>
      <c r="BC74" s="61" t="n">
        <v>726980</v>
      </c>
      <c r="BD74" s="61" t="n">
        <v>173000.01</v>
      </c>
      <c r="BE74" s="36" t="inlineStr">
        <is>
          <t>曹星</t>
        </is>
      </c>
      <c r="BF74" s="61" t="n">
        <v>307000</v>
      </c>
      <c r="BG74" s="61" t="n">
        <v>293720</v>
      </c>
      <c r="BH74" s="61" t="n">
        <v>0</v>
      </c>
      <c r="BI74" s="61" t="n">
        <v>0</v>
      </c>
      <c r="BJ74" s="61" t="n">
        <v>0</v>
      </c>
      <c r="BK74" s="61" t="n">
        <v>0</v>
      </c>
      <c r="BL74" s="61" t="n">
        <v>0</v>
      </c>
      <c r="BM74" s="36" t="n">
        <v>307000</v>
      </c>
      <c r="BN74" s="36" t="n">
        <v>444200</v>
      </c>
      <c r="BO74" s="36" t="n">
        <v>726980</v>
      </c>
      <c r="BP74" s="36" t="n">
        <v>150000</v>
      </c>
      <c r="BQ74" s="36" t="n">
        <v>600720</v>
      </c>
      <c r="BR74" s="36" t="n">
        <v>173000.01</v>
      </c>
    </row>
    <row r="75" customFormat="1" s="5">
      <c r="A75" s="34" t="inlineStr">
        <is>
          <t>广州集泰化工股份有限公司</t>
        </is>
      </c>
      <c r="B75" s="35" t="inlineStr">
        <is>
          <t>G140801025</t>
        </is>
      </c>
      <c r="C75" s="36" t="inlineStr">
        <is>
          <t>广州市华力森化工有限公司</t>
        </is>
      </c>
      <c r="D75" s="36" t="n"/>
      <c r="E75" s="36" t="n">
        <v>2</v>
      </c>
      <c r="F75" s="37" t="n">
        <v>46172</v>
      </c>
      <c r="G75" s="36" t="inlineStr">
        <is>
          <t>彭时莎</t>
        </is>
      </c>
      <c r="H75" s="36" t="n"/>
      <c r="I75" s="36" t="inlineStr">
        <is>
          <t>气硅</t>
        </is>
      </c>
      <c r="J75" s="36" t="n">
        <v>30</v>
      </c>
      <c r="K75" s="36" t="n">
        <v>90</v>
      </c>
      <c r="L75" s="44" t="n">
        <v>0</v>
      </c>
      <c r="M75" s="36" t="inlineStr">
        <is>
          <t>电汇</t>
        </is>
      </c>
      <c r="N75" s="36" t="n"/>
      <c r="O75" s="61" t="n"/>
      <c r="P75" s="61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61" t="n">
        <v>16100</v>
      </c>
      <c r="Z75" s="61" t="n">
        <v>6400</v>
      </c>
      <c r="AA75" s="61" t="n">
        <v>9700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1" t="n">
        <v>0</v>
      </c>
      <c r="AH75" s="61" t="n">
        <v>0</v>
      </c>
      <c r="AI75" s="61" t="n">
        <v>0</v>
      </c>
      <c r="AJ75" s="61" t="n">
        <v>0</v>
      </c>
      <c r="AK75" s="61" t="n">
        <v>0</v>
      </c>
      <c r="AL75" s="61" t="n">
        <v>0</v>
      </c>
      <c r="AM75" s="61" t="n"/>
      <c r="AN75" s="61" t="n">
        <v>6400</v>
      </c>
      <c r="AO75" s="61" t="n">
        <v>9700</v>
      </c>
      <c r="AP75" s="61" t="n">
        <v>0</v>
      </c>
      <c r="AQ75" s="61" t="n">
        <v>0</v>
      </c>
      <c r="AR75" s="61" t="n">
        <v>18580</v>
      </c>
      <c r="AS75" s="61" t="n">
        <v>9880</v>
      </c>
      <c r="AT75" s="61" t="n">
        <v>5800</v>
      </c>
      <c r="AU75" s="61" t="n">
        <v>0</v>
      </c>
      <c r="AV75" s="61" t="n">
        <v>3800</v>
      </c>
      <c r="AW75" s="61" t="n">
        <v>7600</v>
      </c>
      <c r="AX75" s="61" t="n">
        <v>7600</v>
      </c>
      <c r="AY75" s="61" t="n">
        <v>7600</v>
      </c>
      <c r="AZ75" s="61" t="n">
        <v>7600</v>
      </c>
      <c r="BA75" s="61" t="inlineStr">
        <is>
          <t>否</t>
        </is>
      </c>
      <c r="BB75" s="61" t="n">
        <v>28460</v>
      </c>
      <c r="BC75" s="61" t="n">
        <v>34260</v>
      </c>
      <c r="BD75" s="61" t="n">
        <v>0</v>
      </c>
      <c r="BE75" s="36" t="inlineStr">
        <is>
          <t>曹星</t>
        </is>
      </c>
      <c r="BF75" s="61" t="n">
        <v>6400</v>
      </c>
      <c r="BG75" s="61" t="n">
        <v>9700</v>
      </c>
      <c r="BH75" s="61" t="n">
        <v>0</v>
      </c>
      <c r="BI75" s="61" t="n">
        <v>0</v>
      </c>
      <c r="BJ75" s="61" t="n">
        <v>0</v>
      </c>
      <c r="BK75" s="61" t="n">
        <v>0</v>
      </c>
      <c r="BL75" s="61" t="n">
        <v>0</v>
      </c>
      <c r="BM75" s="36" t="n">
        <v>6400</v>
      </c>
      <c r="BN75" s="36" t="n">
        <v>9700</v>
      </c>
      <c r="BO75" s="36" t="n">
        <v>34260</v>
      </c>
      <c r="BP75" s="36" t="n">
        <v>28460</v>
      </c>
      <c r="BQ75" s="36" t="n">
        <v>16100</v>
      </c>
      <c r="BR75" s="36" t="n">
        <v>0</v>
      </c>
    </row>
    <row r="76" customFormat="1" s="5">
      <c r="A76" s="34" t="inlineStr">
        <is>
          <t>广州集泰化工股份有限公司</t>
        </is>
      </c>
      <c r="B76" s="35" t="inlineStr">
        <is>
          <t>G140801051</t>
        </is>
      </c>
      <c r="C76" s="36" t="inlineStr">
        <is>
          <t>广州松尾贸易有限公司</t>
        </is>
      </c>
      <c r="D76" s="36" t="n"/>
      <c r="E76" s="36" t="n">
        <v>2</v>
      </c>
      <c r="F76" s="37" t="n">
        <v>46172</v>
      </c>
      <c r="G76" s="36" t="inlineStr">
        <is>
          <t>彭时莎</t>
        </is>
      </c>
      <c r="H76" s="36" t="n"/>
      <c r="I76" s="36" t="inlineStr">
        <is>
          <t>固化剂</t>
        </is>
      </c>
      <c r="J76" s="36" t="n">
        <v>90</v>
      </c>
      <c r="K76" s="36" t="n">
        <v>120</v>
      </c>
      <c r="L76" s="44" t="n">
        <v>0</v>
      </c>
      <c r="M76" s="36" t="inlineStr">
        <is>
          <t>银承/电汇</t>
        </is>
      </c>
      <c r="N76" s="36" t="n"/>
      <c r="O76" s="61" t="n">
        <v>178003.557</v>
      </c>
      <c r="P76" s="61" t="n"/>
      <c r="Q76" s="36" t="n"/>
      <c r="R76" s="36" t="n"/>
      <c r="S76" s="36" t="n">
        <v>178003.557</v>
      </c>
      <c r="T76" s="36" t="n"/>
      <c r="U76" s="36" t="n"/>
      <c r="V76" s="36" t="n"/>
      <c r="W76" s="36" t="n"/>
      <c r="X76" s="36" t="n"/>
      <c r="Y76" s="61" t="n">
        <v>761583.73</v>
      </c>
      <c r="Z76" s="61" t="n">
        <v>126673</v>
      </c>
      <c r="AA76" s="61" t="n">
        <v>287321</v>
      </c>
      <c r="AB76" s="61" t="n">
        <v>149808</v>
      </c>
      <c r="AC76" s="102" t="n">
        <v>33610</v>
      </c>
      <c r="AD76" s="66" t="n">
        <v>164171.73</v>
      </c>
      <c r="AE76" s="61" t="n">
        <v>0</v>
      </c>
      <c r="AF76" s="61" t="n">
        <v>0</v>
      </c>
      <c r="AG76" s="61" t="n">
        <v>0</v>
      </c>
      <c r="AH76" s="61" t="n">
        <v>0</v>
      </c>
      <c r="AI76" s="61" t="n">
        <v>0</v>
      </c>
      <c r="AJ76" s="61" t="n">
        <v>0</v>
      </c>
      <c r="AK76" s="61" t="n">
        <v>0</v>
      </c>
      <c r="AL76" s="61" t="n">
        <v>0</v>
      </c>
      <c r="AM76" s="61" t="n"/>
      <c r="AN76" s="61" t="n">
        <v>126673</v>
      </c>
      <c r="AO76" s="61" t="n">
        <v>287321</v>
      </c>
      <c r="AP76" s="61" t="n">
        <v>149808</v>
      </c>
      <c r="AQ76" s="61" t="n">
        <v>33610</v>
      </c>
      <c r="AR76" s="61" t="n">
        <v>171168</v>
      </c>
      <c r="AS76" s="61" t="n">
        <v>187220</v>
      </c>
      <c r="AT76" s="61" t="n">
        <v>198970</v>
      </c>
      <c r="AU76" s="61" t="n">
        <v>199380</v>
      </c>
      <c r="AV76" s="61" t="n">
        <v>358610</v>
      </c>
      <c r="AW76" s="61" t="n">
        <v>175120</v>
      </c>
      <c r="AX76" s="61" t="n">
        <v>120000</v>
      </c>
      <c r="AY76" s="61" t="n">
        <v>162260</v>
      </c>
      <c r="AZ76" s="61" t="n">
        <v>0</v>
      </c>
      <c r="BA76" s="61" t="inlineStr">
        <is>
          <t>否</t>
        </is>
      </c>
      <c r="BB76" s="61" t="n">
        <v>386675</v>
      </c>
      <c r="BC76" s="61" t="n">
        <v>596675</v>
      </c>
      <c r="BD76" s="61" t="n">
        <v>0</v>
      </c>
      <c r="BE76" s="36" t="inlineStr">
        <is>
          <t>曹星</t>
        </is>
      </c>
      <c r="BF76" s="61" t="n">
        <v>126673</v>
      </c>
      <c r="BG76" s="61" t="n">
        <v>287321</v>
      </c>
      <c r="BH76" s="61" t="n">
        <v>149808</v>
      </c>
      <c r="BI76" s="61" t="n">
        <v>33610</v>
      </c>
      <c r="BJ76" s="61" t="n">
        <v>164171.73</v>
      </c>
      <c r="BK76" s="61" t="n">
        <v>0</v>
      </c>
      <c r="BL76" s="61" t="n">
        <v>0</v>
      </c>
      <c r="BM76" s="36" t="n">
        <v>126673</v>
      </c>
      <c r="BN76" s="36" t="n">
        <v>287321</v>
      </c>
      <c r="BO76" s="36" t="n">
        <v>596675</v>
      </c>
      <c r="BP76" s="36" t="n">
        <v>386675</v>
      </c>
      <c r="BQ76" s="36" t="n">
        <v>761583.73</v>
      </c>
      <c r="BR76" s="36" t="n">
        <v>0</v>
      </c>
    </row>
    <row r="77" customFormat="1" s="5">
      <c r="A77" s="34" t="inlineStr">
        <is>
          <t>广州集泰化工股份有限公司</t>
        </is>
      </c>
      <c r="B77" s="35" t="inlineStr">
        <is>
          <t>G140801054</t>
        </is>
      </c>
      <c r="C77" s="36" t="inlineStr">
        <is>
          <t>英德科迪颜料技术有限公司</t>
        </is>
      </c>
      <c r="D77" s="36" t="n"/>
      <c r="E77" s="36" t="n">
        <v>2</v>
      </c>
      <c r="F77" s="37" t="n">
        <v>46172</v>
      </c>
      <c r="G77" s="36" t="inlineStr">
        <is>
          <t>彭时莎</t>
        </is>
      </c>
      <c r="H77" s="36" t="n"/>
      <c r="I77" s="36" t="inlineStr">
        <is>
          <t>色浆</t>
        </is>
      </c>
      <c r="J77" s="36" t="n">
        <v>90</v>
      </c>
      <c r="K77" s="36" t="n">
        <v>150</v>
      </c>
      <c r="L77" s="44" t="n">
        <v>0</v>
      </c>
      <c r="M77" s="36" t="inlineStr">
        <is>
          <t>银承/电汇</t>
        </is>
      </c>
      <c r="N77" s="36" t="n"/>
      <c r="O77" s="61" t="n">
        <v>112619.61</v>
      </c>
      <c r="P77" s="61" t="n"/>
      <c r="Q77" s="36" t="n"/>
      <c r="R77" s="36" t="n">
        <v>112619.61</v>
      </c>
      <c r="S77" s="36" t="n"/>
      <c r="T77" s="36" t="n"/>
      <c r="U77" s="36" t="n"/>
      <c r="V77" s="36" t="n"/>
      <c r="W77" s="36" t="n"/>
      <c r="X77" s="36" t="n"/>
      <c r="Y77" s="61" t="n">
        <v>319147.9</v>
      </c>
      <c r="Z77" s="61" t="n">
        <v>60160</v>
      </c>
      <c r="AA77" s="61" t="n">
        <v>74090</v>
      </c>
      <c r="AB77" s="61" t="n">
        <v>0</v>
      </c>
      <c r="AC77" s="61" t="n">
        <v>59765</v>
      </c>
      <c r="AD77" s="103" t="n">
        <v>78445</v>
      </c>
      <c r="AE77" s="66" t="n">
        <v>46687.9</v>
      </c>
      <c r="AF77" s="61" t="n">
        <v>0</v>
      </c>
      <c r="AG77" s="61" t="n">
        <v>0</v>
      </c>
      <c r="AH77" s="61" t="n">
        <v>0</v>
      </c>
      <c r="AI77" s="61" t="n">
        <v>0</v>
      </c>
      <c r="AJ77" s="61" t="n">
        <v>0</v>
      </c>
      <c r="AK77" s="61" t="n">
        <v>0</v>
      </c>
      <c r="AL77" s="61" t="n">
        <v>0</v>
      </c>
      <c r="AM77" s="61" t="n"/>
      <c r="AN77" s="61" t="n">
        <v>60160</v>
      </c>
      <c r="AO77" s="61" t="n">
        <v>74090</v>
      </c>
      <c r="AP77" s="61" t="n">
        <v>0</v>
      </c>
      <c r="AQ77" s="61" t="n">
        <v>59765</v>
      </c>
      <c r="AR77" s="61" t="n">
        <v>78445</v>
      </c>
      <c r="AS77" s="61" t="n">
        <v>49540</v>
      </c>
      <c r="AT77" s="61" t="n">
        <v>186145</v>
      </c>
      <c r="AU77" s="61" t="n">
        <v>7800</v>
      </c>
      <c r="AV77" s="61" t="n">
        <v>91100</v>
      </c>
      <c r="AW77" s="61" t="n">
        <v>74970</v>
      </c>
      <c r="AX77" s="61" t="n">
        <v>54670</v>
      </c>
      <c r="AY77" s="61" t="n">
        <v>37710</v>
      </c>
      <c r="AZ77" s="61" t="n">
        <v>67580</v>
      </c>
      <c r="BA77" s="61" t="inlineStr">
        <is>
          <t>否</t>
        </is>
      </c>
      <c r="BB77" s="61" t="n">
        <v>285000</v>
      </c>
      <c r="BC77" s="61" t="n">
        <v>415000</v>
      </c>
      <c r="BD77" s="61" t="n">
        <v>0</v>
      </c>
      <c r="BE77" s="36" t="inlineStr">
        <is>
          <t>曹星</t>
        </is>
      </c>
      <c r="BF77" s="61" t="n">
        <v>60160</v>
      </c>
      <c r="BG77" s="61" t="n">
        <v>74090</v>
      </c>
      <c r="BH77" s="61" t="n">
        <v>0</v>
      </c>
      <c r="BI77" s="61" t="n">
        <v>59765</v>
      </c>
      <c r="BJ77" s="61" t="n">
        <v>78445</v>
      </c>
      <c r="BK77" s="61" t="n">
        <v>46687.9</v>
      </c>
      <c r="BL77" s="61" t="n">
        <v>0</v>
      </c>
      <c r="BM77" s="36" t="n">
        <v>60160</v>
      </c>
      <c r="BN77" s="36" t="n">
        <v>74090</v>
      </c>
      <c r="BO77" s="36" t="n">
        <v>415000</v>
      </c>
      <c r="BP77" s="36" t="n">
        <v>285000</v>
      </c>
      <c r="BQ77" s="36" t="n">
        <v>319147.9</v>
      </c>
      <c r="BR77" s="36" t="n">
        <v>0</v>
      </c>
    </row>
    <row r="78" customFormat="1" s="5">
      <c r="A78" s="34" t="inlineStr">
        <is>
          <t>广州集泰化工股份有限公司</t>
        </is>
      </c>
      <c r="B78" s="35" t="inlineStr">
        <is>
          <t>G140802011</t>
        </is>
      </c>
      <c r="C78" s="36" t="inlineStr">
        <is>
          <t>广州市原尚五金制品有限公司</t>
        </is>
      </c>
      <c r="D78" s="43" t="inlineStr">
        <is>
          <t>浦发信用证</t>
        </is>
      </c>
      <c r="E78" s="36" t="n">
        <v>1</v>
      </c>
      <c r="F78" s="37" t="n">
        <v>46172</v>
      </c>
      <c r="G78" s="36" t="inlineStr">
        <is>
          <t>彭时莎</t>
        </is>
      </c>
      <c r="H78" s="36" t="n"/>
      <c r="I78" s="36" t="inlineStr">
        <is>
          <t>铁桶、木地板</t>
        </is>
      </c>
      <c r="J78" s="36" t="n">
        <v>120</v>
      </c>
      <c r="K78" s="36" t="n">
        <v>120</v>
      </c>
      <c r="L78" s="44" t="n">
        <v>0</v>
      </c>
      <c r="M78" s="43" t="inlineStr">
        <is>
          <t>商承/银承/电汇/建信/光大信用证/浦发银行信用证</t>
        </is>
      </c>
      <c r="N78" s="36" t="n"/>
      <c r="O78" s="61" t="n">
        <v>1003698.072</v>
      </c>
      <c r="P78" s="61" t="n"/>
      <c r="Q78" s="36" t="n"/>
      <c r="R78" s="36" t="n"/>
      <c r="S78" s="36" t="n"/>
      <c r="T78" s="36" t="n"/>
      <c r="U78" s="36" t="n">
        <v>1003698.072</v>
      </c>
      <c r="V78" s="36" t="n"/>
      <c r="W78" s="36" t="n"/>
      <c r="X78" s="36" t="n"/>
      <c r="Y78" s="61" t="n">
        <v>1660393.08</v>
      </c>
      <c r="Z78" s="61" t="n">
        <v>106560</v>
      </c>
      <c r="AA78" s="61" t="n">
        <v>438613</v>
      </c>
      <c r="AB78" s="61" t="n">
        <v>0</v>
      </c>
      <c r="AC78" s="104" t="n">
        <v>264476</v>
      </c>
      <c r="AD78" s="66" t="n">
        <v>459755</v>
      </c>
      <c r="AE78" s="66" t="n">
        <v>390989.08</v>
      </c>
      <c r="AF78" s="61" t="n">
        <v>0</v>
      </c>
      <c r="AG78" s="61" t="n">
        <v>0</v>
      </c>
      <c r="AH78" s="61" t="n">
        <v>0</v>
      </c>
      <c r="AI78" s="61" t="n">
        <v>0</v>
      </c>
      <c r="AJ78" s="61" t="n">
        <v>0</v>
      </c>
      <c r="AK78" s="61" t="n">
        <v>0</v>
      </c>
      <c r="AL78" s="61" t="n">
        <v>0</v>
      </c>
      <c r="AM78" s="61" t="n"/>
      <c r="AN78" s="61" t="n">
        <v>106560</v>
      </c>
      <c r="AO78" s="61" t="n">
        <v>438613</v>
      </c>
      <c r="AP78" s="61" t="n">
        <v>0</v>
      </c>
      <c r="AQ78" s="61" t="n">
        <v>264476</v>
      </c>
      <c r="AR78" s="61" t="n">
        <v>459755</v>
      </c>
      <c r="AS78" s="61" t="n">
        <v>400207.6</v>
      </c>
      <c r="AT78" s="61" t="n">
        <v>454321</v>
      </c>
      <c r="AU78" s="61" t="n">
        <v>427595</v>
      </c>
      <c r="AV78" s="61" t="n">
        <v>728063.2</v>
      </c>
      <c r="AW78" s="61" t="n">
        <v>382653</v>
      </c>
      <c r="AX78" s="61" t="n">
        <v>848240</v>
      </c>
      <c r="AY78" s="61" t="n">
        <v>0</v>
      </c>
      <c r="AZ78" s="61" t="n">
        <v>626843</v>
      </c>
      <c r="BA78" s="61" t="inlineStr">
        <is>
          <t>否</t>
        </is>
      </c>
      <c r="BB78" s="61" t="n">
        <v>470000</v>
      </c>
      <c r="BC78" s="61" t="n">
        <v>970000</v>
      </c>
      <c r="BD78" s="61" t="n">
        <v>242892.4</v>
      </c>
      <c r="BE78" s="36" t="inlineStr">
        <is>
          <t>曹星</t>
        </is>
      </c>
      <c r="BF78" s="61" t="n">
        <v>106560</v>
      </c>
      <c r="BG78" s="61" t="n">
        <v>438613</v>
      </c>
      <c r="BH78" s="61" t="n">
        <v>0</v>
      </c>
      <c r="BI78" s="61" t="n">
        <v>264476</v>
      </c>
      <c r="BJ78" s="61" t="n">
        <v>459755</v>
      </c>
      <c r="BK78" s="61" t="n">
        <v>390989.08</v>
      </c>
      <c r="BL78" s="61" t="n">
        <v>0</v>
      </c>
      <c r="BM78" s="36" t="n">
        <v>106560</v>
      </c>
      <c r="BN78" s="36" t="n">
        <v>438613</v>
      </c>
      <c r="BO78" s="36" t="n">
        <v>970000</v>
      </c>
      <c r="BP78" s="36" t="n">
        <v>470000</v>
      </c>
      <c r="BQ78" s="36" t="n">
        <v>1660393.08</v>
      </c>
      <c r="BR78" s="36" t="n">
        <v>242892.4</v>
      </c>
    </row>
    <row r="79" customFormat="1" s="5">
      <c r="A79" s="34" t="inlineStr">
        <is>
          <t>广州集泰化工股份有限公司</t>
        </is>
      </c>
      <c r="B79" s="35" t="inlineStr">
        <is>
          <t>G140802012</t>
        </is>
      </c>
      <c r="C79" s="36" t="inlineStr">
        <is>
          <t>广州昂迪化工有限公司</t>
        </is>
      </c>
      <c r="D79" s="36" t="n"/>
      <c r="E79" s="36" t="n">
        <v>2</v>
      </c>
      <c r="F79" s="37" t="n">
        <v>46172</v>
      </c>
      <c r="G79" s="36" t="inlineStr">
        <is>
          <t>彭时莎</t>
        </is>
      </c>
      <c r="H79" s="36" t="n"/>
      <c r="I79" s="36" t="inlineStr">
        <is>
          <t>珠光粉</t>
        </is>
      </c>
      <c r="J79" s="36" t="n">
        <v>30</v>
      </c>
      <c r="K79" s="36" t="n">
        <v>60</v>
      </c>
      <c r="L79" s="44" t="n">
        <v>0</v>
      </c>
      <c r="M79" s="36" t="inlineStr">
        <is>
          <t>银承/电汇</t>
        </is>
      </c>
      <c r="N79" s="36" t="n"/>
      <c r="O79" s="61" t="n"/>
      <c r="P79" s="61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1" t="n">
        <v>0</v>
      </c>
      <c r="AH79" s="61" t="n">
        <v>0</v>
      </c>
      <c r="AI79" s="61" t="n">
        <v>0</v>
      </c>
      <c r="AJ79" s="61" t="n">
        <v>0</v>
      </c>
      <c r="AK79" s="61" t="n">
        <v>0</v>
      </c>
      <c r="AL79" s="61" t="n">
        <v>0</v>
      </c>
      <c r="AM79" s="61" t="n"/>
      <c r="AN79" s="61" t="n">
        <v>0</v>
      </c>
      <c r="AO79" s="61" t="n">
        <v>0</v>
      </c>
      <c r="AP79" s="61" t="n">
        <v>0</v>
      </c>
      <c r="AQ79" s="61" t="n">
        <v>4250</v>
      </c>
      <c r="AR79" s="61" t="n">
        <v>4250</v>
      </c>
      <c r="AS79" s="61" t="n">
        <v>4250</v>
      </c>
      <c r="AT79" s="61" t="n">
        <v>0</v>
      </c>
      <c r="AU79" s="61" t="n">
        <v>4250</v>
      </c>
      <c r="AV79" s="61" t="n">
        <v>0</v>
      </c>
      <c r="AW79" s="61" t="n">
        <v>9750</v>
      </c>
      <c r="AX79" s="61" t="n">
        <v>8250</v>
      </c>
      <c r="AY79" s="61" t="n">
        <v>0</v>
      </c>
      <c r="AZ79" s="61" t="n">
        <v>4250</v>
      </c>
      <c r="BA79" s="61" t="inlineStr">
        <is>
          <t>否</t>
        </is>
      </c>
      <c r="BB79" s="61" t="n">
        <v>4250</v>
      </c>
      <c r="BC79" s="61" t="n">
        <v>12750</v>
      </c>
      <c r="BD79" s="61" t="n">
        <v>4250</v>
      </c>
      <c r="BE79" s="36" t="inlineStr">
        <is>
          <t>曹星</t>
        </is>
      </c>
      <c r="BF79" s="61" t="n">
        <v>0</v>
      </c>
      <c r="BG79" s="61" t="n">
        <v>0</v>
      </c>
      <c r="BH79" s="61" t="n">
        <v>0</v>
      </c>
      <c r="BI79" s="61" t="n">
        <v>0</v>
      </c>
      <c r="BJ79" s="61" t="n">
        <v>0</v>
      </c>
      <c r="BK79" s="61" t="n">
        <v>0</v>
      </c>
      <c r="BL79" s="61" t="n">
        <v>0</v>
      </c>
      <c r="BM79" s="36" t="n">
        <v>0</v>
      </c>
      <c r="BN79" s="36" t="n">
        <v>0</v>
      </c>
      <c r="BO79" s="36" t="n">
        <v>12750</v>
      </c>
      <c r="BP79" s="36" t="n">
        <v>4250</v>
      </c>
      <c r="BQ79" s="36" t="n">
        <v>0</v>
      </c>
      <c r="BR79" s="36" t="n">
        <v>4250</v>
      </c>
    </row>
    <row r="80" customFormat="1" s="5">
      <c r="A80" s="34" t="inlineStr">
        <is>
          <t>广州集泰化工股份有限公司</t>
        </is>
      </c>
      <c r="B80" s="35" t="inlineStr">
        <is>
          <t>G140802015</t>
        </is>
      </c>
      <c r="C80" s="36" t="inlineStr">
        <is>
          <t>上海万厚生物科技有限公司</t>
        </is>
      </c>
      <c r="D80" s="36" t="n"/>
      <c r="E80" s="36" t="n">
        <v>2</v>
      </c>
      <c r="F80" s="37" t="n">
        <v>46172</v>
      </c>
      <c r="G80" s="36" t="inlineStr">
        <is>
          <t>彭时莎</t>
        </is>
      </c>
      <c r="H80" s="36" t="n"/>
      <c r="I80" s="36" t="inlineStr">
        <is>
          <t>防腐剂、防霉剂</t>
        </is>
      </c>
      <c r="J80" s="36" t="n">
        <v>30</v>
      </c>
      <c r="K80" s="36" t="n">
        <v>60</v>
      </c>
      <c r="L80" s="44" t="n">
        <v>0</v>
      </c>
      <c r="M80" s="36" t="inlineStr">
        <is>
          <t>电汇</t>
        </is>
      </c>
      <c r="N80" s="36" t="n"/>
      <c r="O80" s="61" t="n"/>
      <c r="P80" s="61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61" t="n">
        <v>3375</v>
      </c>
      <c r="Z80" s="61" t="n">
        <v>3375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1" t="n">
        <v>0</v>
      </c>
      <c r="AH80" s="61" t="n">
        <v>0</v>
      </c>
      <c r="AI80" s="61" t="n">
        <v>0</v>
      </c>
      <c r="AJ80" s="61" t="n">
        <v>0</v>
      </c>
      <c r="AK80" s="61" t="n">
        <v>0</v>
      </c>
      <c r="AL80" s="61" t="n">
        <v>0</v>
      </c>
      <c r="AM80" s="61" t="n"/>
      <c r="AN80" s="61" t="n">
        <v>3375</v>
      </c>
      <c r="AO80" s="61" t="n">
        <v>0</v>
      </c>
      <c r="AP80" s="61" t="n">
        <v>0</v>
      </c>
      <c r="AQ80" s="61" t="n">
        <v>3375</v>
      </c>
      <c r="AR80" s="61" t="n">
        <v>12550</v>
      </c>
      <c r="AS80" s="61" t="n">
        <v>3375</v>
      </c>
      <c r="AT80" s="61" t="n">
        <v>3660</v>
      </c>
      <c r="AU80" s="61" t="n">
        <v>2050</v>
      </c>
      <c r="AV80" s="61" t="n">
        <v>0</v>
      </c>
      <c r="AW80" s="61" t="n">
        <v>3500</v>
      </c>
      <c r="AX80" s="61" t="n">
        <v>3500</v>
      </c>
      <c r="AY80" s="61" t="n">
        <v>3500</v>
      </c>
      <c r="AZ80" s="61" t="n">
        <v>3500</v>
      </c>
      <c r="BA80" s="61" t="inlineStr">
        <is>
          <t>否</t>
        </is>
      </c>
      <c r="BB80" s="61" t="n">
        <v>3375</v>
      </c>
      <c r="BC80" s="61" t="n">
        <v>19300</v>
      </c>
      <c r="BD80" s="61" t="n">
        <v>0</v>
      </c>
      <c r="BE80" s="36" t="inlineStr">
        <is>
          <t>曹星</t>
        </is>
      </c>
      <c r="BF80" s="61" t="n">
        <v>3375</v>
      </c>
      <c r="BG80" s="61" t="n">
        <v>0</v>
      </c>
      <c r="BH80" s="61" t="n">
        <v>0</v>
      </c>
      <c r="BI80" s="61" t="n">
        <v>0</v>
      </c>
      <c r="BJ80" s="61" t="n">
        <v>0</v>
      </c>
      <c r="BK80" s="61" t="n">
        <v>0</v>
      </c>
      <c r="BL80" s="61" t="n">
        <v>0</v>
      </c>
      <c r="BM80" s="36" t="n">
        <v>3375</v>
      </c>
      <c r="BN80" s="36" t="n">
        <v>0</v>
      </c>
      <c r="BO80" s="36" t="n">
        <v>19300</v>
      </c>
      <c r="BP80" s="36" t="n">
        <v>3375</v>
      </c>
      <c r="BQ80" s="36" t="n">
        <v>3375</v>
      </c>
      <c r="BR80" s="36" t="n">
        <v>0</v>
      </c>
    </row>
    <row r="81" customFormat="1" s="5">
      <c r="A81" s="34" t="inlineStr">
        <is>
          <t>广州集泰化工股份有限公司</t>
        </is>
      </c>
      <c r="B81" s="35" t="inlineStr">
        <is>
          <t>G140802016</t>
        </is>
      </c>
      <c r="C81" s="36" t="inlineStr">
        <is>
          <t>中国化工株洲橡胶研究设计院有限公司</t>
        </is>
      </c>
      <c r="D81" s="36" t="n"/>
      <c r="E81" s="36" t="n">
        <v>1</v>
      </c>
      <c r="F81" s="37" t="n">
        <v>46172</v>
      </c>
      <c r="G81" s="36" t="inlineStr">
        <is>
          <t>彭时莎</t>
        </is>
      </c>
      <c r="H81" s="36" t="n"/>
      <c r="I81" s="36" t="inlineStr">
        <is>
          <t>乳化沥青</t>
        </is>
      </c>
      <c r="J81" s="36" t="n">
        <v>90</v>
      </c>
      <c r="K81" s="36" t="n">
        <v>180</v>
      </c>
      <c r="L81" s="44" t="n">
        <v>0</v>
      </c>
      <c r="M81" s="36" t="inlineStr">
        <is>
          <t>商承/银承/电汇/云信/建信</t>
        </is>
      </c>
      <c r="N81" s="36" t="n"/>
      <c r="O81" s="61" t="n">
        <v>21685.5</v>
      </c>
      <c r="P81" s="61" t="n"/>
      <c r="Q81" s="36" t="n"/>
      <c r="R81" s="36" t="n"/>
      <c r="S81" s="36" t="n"/>
      <c r="T81" s="36" t="n"/>
      <c r="U81" s="36" t="n"/>
      <c r="V81" s="36" t="n"/>
      <c r="W81" s="36" t="n">
        <v>21685.5</v>
      </c>
      <c r="X81" s="36" t="n"/>
      <c r="Y81" s="61" t="n">
        <v>33460</v>
      </c>
      <c r="Z81" s="61" t="n">
        <v>6732.5</v>
      </c>
      <c r="AA81" s="61" t="n">
        <v>2632.5</v>
      </c>
      <c r="AB81" s="61" t="n">
        <v>0</v>
      </c>
      <c r="AC81" s="61" t="n">
        <v>0</v>
      </c>
      <c r="AD81" s="61" t="n">
        <v>0</v>
      </c>
      <c r="AE81" s="61" t="n">
        <v>0</v>
      </c>
      <c r="AF81" s="105" t="n">
        <v>3510</v>
      </c>
      <c r="AG81" s="66" t="n">
        <v>2925</v>
      </c>
      <c r="AH81" s="66" t="n">
        <v>2925</v>
      </c>
      <c r="AI81" s="66" t="n">
        <v>7605</v>
      </c>
      <c r="AJ81" s="66" t="n">
        <v>7130</v>
      </c>
      <c r="AK81" s="61" t="n">
        <v>0</v>
      </c>
      <c r="AL81" s="61" t="n">
        <v>0</v>
      </c>
      <c r="AM81" s="61" t="n"/>
      <c r="AN81" s="61" t="n">
        <v>6732.5</v>
      </c>
      <c r="AO81" s="61" t="n">
        <v>2632.5</v>
      </c>
      <c r="AP81" s="61" t="n">
        <v>0</v>
      </c>
      <c r="AQ81" s="61" t="n">
        <v>0</v>
      </c>
      <c r="AR81" s="61" t="n">
        <v>0</v>
      </c>
      <c r="AS81" s="61" t="n">
        <v>0</v>
      </c>
      <c r="AT81" s="61" t="n">
        <v>3510</v>
      </c>
      <c r="AU81" s="61" t="n">
        <v>2925</v>
      </c>
      <c r="AV81" s="61" t="n">
        <v>2925</v>
      </c>
      <c r="AW81" s="61" t="n">
        <v>7605</v>
      </c>
      <c r="AX81" s="61" t="n">
        <v>8775</v>
      </c>
      <c r="AY81" s="61" t="n">
        <v>0</v>
      </c>
      <c r="AZ81" s="61" t="n">
        <v>2340</v>
      </c>
      <c r="BA81" s="61" t="inlineStr">
        <is>
          <t>否</t>
        </is>
      </c>
      <c r="BB81" s="61" t="n">
        <v>0</v>
      </c>
      <c r="BC81" s="61" t="n">
        <v>0</v>
      </c>
      <c r="BD81" s="61" t="n">
        <v>0</v>
      </c>
      <c r="BE81" s="36" t="inlineStr">
        <is>
          <t>曹星</t>
        </is>
      </c>
      <c r="BF81" s="61" t="n">
        <v>6732.5</v>
      </c>
      <c r="BG81" s="61" t="n">
        <v>2632.5</v>
      </c>
      <c r="BH81" s="61" t="n">
        <v>0</v>
      </c>
      <c r="BI81" s="61" t="n">
        <v>0</v>
      </c>
      <c r="BJ81" s="61" t="n">
        <v>0</v>
      </c>
      <c r="BK81" s="61" t="n">
        <v>0</v>
      </c>
      <c r="BL81" s="61" t="n">
        <v>24095</v>
      </c>
      <c r="BM81" s="36" t="n">
        <v>6732.5</v>
      </c>
      <c r="BN81" s="36" t="n">
        <v>2632.5</v>
      </c>
      <c r="BO81" s="36" t="n">
        <v>0</v>
      </c>
      <c r="BP81" s="36" t="n">
        <v>0</v>
      </c>
      <c r="BQ81" s="36" t="n">
        <v>33460</v>
      </c>
      <c r="BR81" s="36" t="n">
        <v>0</v>
      </c>
    </row>
    <row r="82" customFormat="1" s="5">
      <c r="A82" s="34" t="inlineStr">
        <is>
          <t>广州集泰化工股份有限公司</t>
        </is>
      </c>
      <c r="B82" s="35" t="inlineStr">
        <is>
          <t>G140901035</t>
        </is>
      </c>
      <c r="C82" s="36" t="inlineStr">
        <is>
          <t>佛山市维宁新材料有限公司</t>
        </is>
      </c>
      <c r="D82" s="36" t="n"/>
      <c r="E82" s="36" t="n">
        <v>2</v>
      </c>
      <c r="F82" s="37" t="n">
        <v>46172</v>
      </c>
      <c r="G82" s="36" t="inlineStr">
        <is>
          <t>彭时莎</t>
        </is>
      </c>
      <c r="H82" s="36" t="n"/>
      <c r="I82" s="36" t="inlineStr">
        <is>
          <t>消泡剂、增稠剂</t>
        </is>
      </c>
      <c r="J82" s="36" t="n">
        <v>180</v>
      </c>
      <c r="K82" s="36" t="n">
        <v>210</v>
      </c>
      <c r="L82" s="44" t="n">
        <v>0</v>
      </c>
      <c r="M82" s="36" t="inlineStr">
        <is>
          <t>商承（不能只给6个月的）/银承/电汇</t>
        </is>
      </c>
      <c r="N82" s="36" t="n"/>
      <c r="O82" s="61" t="n">
        <v>70560</v>
      </c>
      <c r="P82" s="61" t="n"/>
      <c r="Q82" s="36" t="n"/>
      <c r="R82" s="36" t="n"/>
      <c r="S82" s="36" t="n">
        <v>70560</v>
      </c>
      <c r="T82" s="36" t="n"/>
      <c r="U82" s="36" t="n"/>
      <c r="V82" s="36" t="n"/>
      <c r="W82" s="36" t="n"/>
      <c r="X82" s="36" t="n"/>
      <c r="Y82" s="61" t="n">
        <v>263578.59</v>
      </c>
      <c r="Z82" s="61" t="n">
        <v>63220</v>
      </c>
      <c r="AA82" s="61" t="n">
        <v>0</v>
      </c>
      <c r="AB82" s="61" t="n">
        <v>39200</v>
      </c>
      <c r="AC82" s="61" t="n">
        <v>0</v>
      </c>
      <c r="AD82" s="61" t="n">
        <v>39200</v>
      </c>
      <c r="AE82" s="61" t="n">
        <v>4420</v>
      </c>
      <c r="AF82" s="67" t="n">
        <v>78400</v>
      </c>
      <c r="AG82" s="61" t="n"/>
      <c r="AH82" s="61" t="n">
        <v>0</v>
      </c>
      <c r="AI82" s="61" t="n">
        <v>0</v>
      </c>
      <c r="AJ82" s="61" t="n">
        <v>0</v>
      </c>
      <c r="AK82" s="61" t="n">
        <v>0</v>
      </c>
      <c r="AL82" s="61" t="n">
        <v>0</v>
      </c>
      <c r="AM82" s="61" t="n"/>
      <c r="AN82" s="61" t="n">
        <v>63220</v>
      </c>
      <c r="AO82" s="61" t="n">
        <v>0</v>
      </c>
      <c r="AP82" s="61" t="n">
        <v>39200</v>
      </c>
      <c r="AQ82" s="61" t="n">
        <v>0</v>
      </c>
      <c r="AR82" s="61" t="n">
        <v>39200</v>
      </c>
      <c r="AS82" s="61" t="n">
        <v>4420</v>
      </c>
      <c r="AT82" s="61" t="n">
        <v>78400</v>
      </c>
      <c r="AU82" s="61" t="n">
        <v>39200</v>
      </c>
      <c r="AV82" s="61" t="n">
        <v>0</v>
      </c>
      <c r="AW82" s="61" t="n">
        <v>43120</v>
      </c>
      <c r="AX82" s="61" t="n">
        <v>23520</v>
      </c>
      <c r="AY82" s="61" t="n">
        <v>0</v>
      </c>
      <c r="AZ82" s="61" t="n">
        <v>68050</v>
      </c>
      <c r="BA82" s="61" t="inlineStr">
        <is>
          <t>否</t>
        </is>
      </c>
      <c r="BB82" s="61" t="n">
        <v>0</v>
      </c>
      <c r="BC82" s="61" t="n">
        <v>63170.41</v>
      </c>
      <c r="BD82" s="61" t="n">
        <v>0</v>
      </c>
      <c r="BE82" s="36" t="inlineStr">
        <is>
          <t>曹星</t>
        </is>
      </c>
      <c r="BF82" s="61" t="n">
        <v>63220</v>
      </c>
      <c r="BG82" s="61" t="n">
        <v>0</v>
      </c>
      <c r="BH82" s="61" t="n">
        <v>39200</v>
      </c>
      <c r="BI82" s="61" t="n">
        <v>0</v>
      </c>
      <c r="BJ82" s="61" t="n">
        <v>39200</v>
      </c>
      <c r="BK82" s="61" t="n">
        <v>4420</v>
      </c>
      <c r="BL82" s="61" t="n">
        <v>117538.59</v>
      </c>
      <c r="BM82" s="36" t="n">
        <v>63220</v>
      </c>
      <c r="BN82" s="36" t="n">
        <v>0</v>
      </c>
      <c r="BO82" s="36" t="n">
        <v>63170.41</v>
      </c>
      <c r="BP82" s="36" t="n">
        <v>0</v>
      </c>
      <c r="BQ82" s="36" t="n">
        <v>263578.59</v>
      </c>
      <c r="BR82" s="36" t="n">
        <v>0</v>
      </c>
    </row>
    <row r="83" customFormat="1" s="5">
      <c r="A83" s="34" t="inlineStr">
        <is>
          <t>广州集泰化工股份有限公司</t>
        </is>
      </c>
      <c r="B83" s="35" t="inlineStr">
        <is>
          <t>G140901039</t>
        </is>
      </c>
      <c r="C83" s="36" t="inlineStr">
        <is>
          <t>杭州海迪斯新材料有限公司</t>
        </is>
      </c>
      <c r="D83" s="36" t="n"/>
      <c r="E83" s="36" t="n">
        <v>2</v>
      </c>
      <c r="F83" s="37" t="n">
        <v>46172</v>
      </c>
      <c r="G83" s="36" t="inlineStr">
        <is>
          <t>彭时莎</t>
        </is>
      </c>
      <c r="H83" s="36" t="n"/>
      <c r="I83" s="36" t="inlineStr">
        <is>
          <t>膨润土</t>
        </is>
      </c>
      <c r="J83" s="36" t="n">
        <v>180</v>
      </c>
      <c r="K83" s="36" t="n">
        <v>180</v>
      </c>
      <c r="L83" s="44" t="n">
        <v>0</v>
      </c>
      <c r="M83" s="36" t="inlineStr">
        <is>
          <t>银承/商承/电汇（商承/总付款≤20%）</t>
        </is>
      </c>
      <c r="N83" s="36" t="n"/>
      <c r="O83" s="61" t="n">
        <v>38835</v>
      </c>
      <c r="P83" s="61" t="n"/>
      <c r="Q83" s="36" t="n"/>
      <c r="R83" s="36" t="n"/>
      <c r="S83" s="36" t="n">
        <v>38835</v>
      </c>
      <c r="T83" s="36" t="n"/>
      <c r="U83" s="36" t="n"/>
      <c r="V83" s="36" t="n"/>
      <c r="W83" s="36" t="n"/>
      <c r="X83" s="36" t="n"/>
      <c r="Y83" s="61" t="n">
        <v>55750</v>
      </c>
      <c r="Z83" s="61" t="n">
        <v>0</v>
      </c>
      <c r="AA83" s="61" t="n">
        <v>6300</v>
      </c>
      <c r="AB83" s="61" t="n">
        <v>0</v>
      </c>
      <c r="AC83" s="61" t="n">
        <v>6300</v>
      </c>
      <c r="AD83" s="61" t="n">
        <v>0</v>
      </c>
      <c r="AE83" s="61" t="n">
        <v>0</v>
      </c>
      <c r="AF83" s="106" t="n">
        <v>9950</v>
      </c>
      <c r="AG83" s="66" t="n">
        <v>2800</v>
      </c>
      <c r="AH83" s="66" t="n">
        <v>17210</v>
      </c>
      <c r="AI83" s="66" t="n">
        <v>9240</v>
      </c>
      <c r="AJ83" s="66" t="n">
        <v>3950</v>
      </c>
      <c r="AK83" s="61" t="n">
        <v>0</v>
      </c>
      <c r="AL83" s="61" t="n">
        <v>0</v>
      </c>
      <c r="AM83" s="61" t="n"/>
      <c r="AN83" s="61" t="n">
        <v>0</v>
      </c>
      <c r="AO83" s="61" t="n">
        <v>6300</v>
      </c>
      <c r="AP83" s="61" t="n">
        <v>0</v>
      </c>
      <c r="AQ83" s="61" t="n">
        <v>6300</v>
      </c>
      <c r="AR83" s="61" t="n">
        <v>0</v>
      </c>
      <c r="AS83" s="61" t="n">
        <v>0</v>
      </c>
      <c r="AT83" s="61" t="n">
        <v>9950</v>
      </c>
      <c r="AU83" s="61" t="n">
        <v>2800</v>
      </c>
      <c r="AV83" s="61" t="n">
        <v>17210</v>
      </c>
      <c r="AW83" s="61" t="n">
        <v>9240</v>
      </c>
      <c r="AX83" s="61" t="n">
        <v>3950</v>
      </c>
      <c r="AY83" s="61" t="n">
        <v>0</v>
      </c>
      <c r="AZ83" s="61" t="n">
        <v>3150</v>
      </c>
      <c r="BA83" s="61" t="inlineStr">
        <is>
          <t>否</t>
        </is>
      </c>
      <c r="BB83" s="61" t="n">
        <v>0</v>
      </c>
      <c r="BC83" s="61" t="n">
        <v>0</v>
      </c>
      <c r="BD83" s="61" t="n">
        <v>0</v>
      </c>
      <c r="BE83" s="36" t="inlineStr">
        <is>
          <t>曹星</t>
        </is>
      </c>
      <c r="BF83" s="61" t="n">
        <v>0</v>
      </c>
      <c r="BG83" s="61" t="n">
        <v>6300</v>
      </c>
      <c r="BH83" s="61" t="n">
        <v>0</v>
      </c>
      <c r="BI83" s="61" t="n">
        <v>6300</v>
      </c>
      <c r="BJ83" s="61" t="n">
        <v>0</v>
      </c>
      <c r="BK83" s="61" t="n">
        <v>0</v>
      </c>
      <c r="BL83" s="61" t="n">
        <v>43150</v>
      </c>
      <c r="BM83" s="36" t="n">
        <v>0</v>
      </c>
      <c r="BN83" s="36" t="n">
        <v>6300</v>
      </c>
      <c r="BO83" s="36" t="n">
        <v>0</v>
      </c>
      <c r="BP83" s="36" t="n">
        <v>0</v>
      </c>
      <c r="BQ83" s="36" t="n">
        <v>55750</v>
      </c>
      <c r="BR83" s="36" t="n">
        <v>0</v>
      </c>
    </row>
    <row r="84" customFormat="1" s="5">
      <c r="A84" s="34" t="inlineStr">
        <is>
          <t>广州集泰化工股份有限公司</t>
        </is>
      </c>
      <c r="B84" s="35" t="inlineStr">
        <is>
          <t>G140901050</t>
        </is>
      </c>
      <c r="C84" s="36" t="inlineStr">
        <is>
          <t>湖南晶品颜料有限公司</t>
        </is>
      </c>
      <c r="D84" s="36" t="n"/>
      <c r="E84" s="36" t="n">
        <v>2</v>
      </c>
      <c r="F84" s="37" t="n">
        <v>46172</v>
      </c>
      <c r="G84" s="36" t="inlineStr">
        <is>
          <t>曹星</t>
        </is>
      </c>
      <c r="H84" s="36" t="n"/>
      <c r="I84" s="36" t="inlineStr">
        <is>
          <t>色粉</t>
        </is>
      </c>
      <c r="J84" s="36" t="n">
        <v>30</v>
      </c>
      <c r="K84" s="36" t="n">
        <v>90</v>
      </c>
      <c r="L84" s="44" t="n">
        <v>0</v>
      </c>
      <c r="M84" s="36" t="inlineStr">
        <is>
          <t>银承/电汇</t>
        </is>
      </c>
      <c r="N84" s="36" t="n"/>
      <c r="O84" s="61" t="n">
        <v>44469</v>
      </c>
      <c r="P84" s="61" t="n"/>
      <c r="Q84" s="36" t="n"/>
      <c r="R84" s="36" t="n"/>
      <c r="S84" s="36" t="n">
        <v>44469</v>
      </c>
      <c r="T84" s="36" t="n"/>
      <c r="U84" s="36" t="n"/>
      <c r="V84" s="36" t="n"/>
      <c r="W84" s="36" t="n"/>
      <c r="X84" s="36" t="n"/>
      <c r="Y84" s="61" t="n">
        <v>49410</v>
      </c>
      <c r="Z84" s="61" t="n">
        <v>0</v>
      </c>
      <c r="AA84" s="61" t="n">
        <v>0</v>
      </c>
      <c r="AB84" s="61" t="n">
        <v>0</v>
      </c>
      <c r="AC84" s="107" t="n">
        <v>25000</v>
      </c>
      <c r="AD84" s="61" t="n">
        <v>0</v>
      </c>
      <c r="AE84" s="61" t="n">
        <v>0</v>
      </c>
      <c r="AF84" s="61" t="n">
        <v>0</v>
      </c>
      <c r="AG84" s="66" t="n">
        <v>24410</v>
      </c>
      <c r="AH84" s="61" t="n">
        <v>0</v>
      </c>
      <c r="AI84" s="61" t="n">
        <v>0</v>
      </c>
      <c r="AJ84" s="61" t="n">
        <v>0</v>
      </c>
      <c r="AK84" s="61" t="n">
        <v>0</v>
      </c>
      <c r="AL84" s="61" t="n">
        <v>0</v>
      </c>
      <c r="AM84" s="61" t="n"/>
      <c r="AN84" s="61" t="n">
        <v>0</v>
      </c>
      <c r="AO84" s="61" t="n">
        <v>0</v>
      </c>
      <c r="AP84" s="61" t="n">
        <v>0</v>
      </c>
      <c r="AQ84" s="61" t="n">
        <v>25000</v>
      </c>
      <c r="AR84" s="61" t="n">
        <v>0</v>
      </c>
      <c r="AS84" s="61" t="n">
        <v>0</v>
      </c>
      <c r="AT84" s="61" t="n">
        <v>0</v>
      </c>
      <c r="AU84" s="61" t="n">
        <v>25000</v>
      </c>
      <c r="AV84" s="61" t="n">
        <v>0</v>
      </c>
      <c r="AW84" s="61" t="n">
        <v>25000</v>
      </c>
      <c r="AX84" s="61" t="n">
        <v>25000</v>
      </c>
      <c r="AY84" s="61" t="n">
        <v>0</v>
      </c>
      <c r="AZ84" s="61" t="n">
        <v>25000</v>
      </c>
      <c r="BA84" s="61" t="inlineStr">
        <is>
          <t>否</t>
        </is>
      </c>
      <c r="BB84" s="61" t="n">
        <v>25590</v>
      </c>
      <c r="BC84" s="61" t="n">
        <v>50590</v>
      </c>
      <c r="BD84" s="61" t="n">
        <v>0</v>
      </c>
      <c r="BE84" s="36" t="inlineStr">
        <is>
          <t>曹星</t>
        </is>
      </c>
      <c r="BF84" s="61" t="n">
        <v>0</v>
      </c>
      <c r="BG84" s="61" t="n">
        <v>0</v>
      </c>
      <c r="BH84" s="61" t="n">
        <v>0</v>
      </c>
      <c r="BI84" s="61" t="n">
        <v>25000</v>
      </c>
      <c r="BJ84" s="61" t="n">
        <v>0</v>
      </c>
      <c r="BK84" s="61" t="n">
        <v>0</v>
      </c>
      <c r="BL84" s="61" t="n">
        <v>24410</v>
      </c>
      <c r="BM84" s="36" t="n">
        <v>0</v>
      </c>
      <c r="BN84" s="36" t="n">
        <v>0</v>
      </c>
      <c r="BO84" s="36" t="n">
        <v>50590</v>
      </c>
      <c r="BP84" s="36" t="n">
        <v>25590</v>
      </c>
      <c r="BQ84" s="36" t="n">
        <v>49410</v>
      </c>
      <c r="BR84" s="36" t="n">
        <v>0</v>
      </c>
    </row>
    <row r="85" customFormat="1" s="5">
      <c r="A85" s="34" t="inlineStr">
        <is>
          <t>广州集泰化工股份有限公司</t>
        </is>
      </c>
      <c r="B85" s="35" t="inlineStr">
        <is>
          <t>G140901051</t>
        </is>
      </c>
      <c r="C85" s="36" t="inlineStr">
        <is>
          <t>广州坤彩颜料有限公司</t>
        </is>
      </c>
      <c r="D85" s="36" t="n"/>
      <c r="E85" s="36" t="n">
        <v>2</v>
      </c>
      <c r="F85" s="37" t="n">
        <v>46172</v>
      </c>
      <c r="G85" s="36" t="inlineStr">
        <is>
          <t>曹星</t>
        </is>
      </c>
      <c r="H85" s="36" t="n"/>
      <c r="I85" s="36" t="inlineStr">
        <is>
          <t>色浆</t>
        </is>
      </c>
      <c r="J85" s="36" t="n">
        <v>30</v>
      </c>
      <c r="K85" s="36" t="n">
        <v>90</v>
      </c>
      <c r="L85" s="44" t="n">
        <v>0</v>
      </c>
      <c r="M85" s="36" t="inlineStr">
        <is>
          <t>银承/电汇</t>
        </is>
      </c>
      <c r="N85" s="36" t="n"/>
      <c r="O85" s="61" t="n">
        <v>40423.986</v>
      </c>
      <c r="P85" s="61" t="n"/>
      <c r="Q85" s="36" t="n"/>
      <c r="R85" s="36" t="n"/>
      <c r="S85" s="36" t="n">
        <v>40423.986</v>
      </c>
      <c r="T85" s="36" t="n"/>
      <c r="U85" s="36" t="n"/>
      <c r="V85" s="36" t="n"/>
      <c r="W85" s="36" t="n"/>
      <c r="X85" s="36" t="n"/>
      <c r="Y85" s="61" t="n">
        <v>89915.53999999999</v>
      </c>
      <c r="Z85" s="61" t="n">
        <v>30000</v>
      </c>
      <c r="AA85" s="61" t="n">
        <v>15000</v>
      </c>
      <c r="AB85" s="61" t="n">
        <v>0</v>
      </c>
      <c r="AC85" s="108" t="n">
        <v>15000</v>
      </c>
      <c r="AD85" s="61" t="n">
        <v>0</v>
      </c>
      <c r="AE85" s="66" t="n">
        <v>29915.54</v>
      </c>
      <c r="AF85" s="61" t="n">
        <v>0</v>
      </c>
      <c r="AG85" s="61" t="n">
        <v>0</v>
      </c>
      <c r="AH85" s="61" t="n">
        <v>0</v>
      </c>
      <c r="AI85" s="61" t="n">
        <v>0</v>
      </c>
      <c r="AJ85" s="61" t="n">
        <v>0</v>
      </c>
      <c r="AK85" s="61" t="n">
        <v>0</v>
      </c>
      <c r="AL85" s="61" t="n">
        <v>0</v>
      </c>
      <c r="AM85" s="61" t="n"/>
      <c r="AN85" s="61" t="n">
        <v>30000</v>
      </c>
      <c r="AO85" s="61" t="n">
        <v>15000</v>
      </c>
      <c r="AP85" s="61" t="n">
        <v>0</v>
      </c>
      <c r="AQ85" s="61" t="n">
        <v>15000</v>
      </c>
      <c r="AR85" s="61" t="n">
        <v>0</v>
      </c>
      <c r="AS85" s="61" t="n">
        <v>30000</v>
      </c>
      <c r="AT85" s="61" t="n">
        <v>15000</v>
      </c>
      <c r="AU85" s="61" t="n">
        <v>0</v>
      </c>
      <c r="AV85" s="61" t="n">
        <v>15000</v>
      </c>
      <c r="AW85" s="61" t="n">
        <v>15000</v>
      </c>
      <c r="AX85" s="61" t="n">
        <v>0</v>
      </c>
      <c r="AY85" s="61" t="n">
        <v>21375</v>
      </c>
      <c r="AZ85" s="61" t="n">
        <v>0</v>
      </c>
      <c r="BA85" s="61" t="inlineStr">
        <is>
          <t>否</t>
        </is>
      </c>
      <c r="BB85" s="61" t="n">
        <v>14700</v>
      </c>
      <c r="BC85" s="61" t="n">
        <v>30132.93</v>
      </c>
      <c r="BD85" s="61" t="n">
        <v>0</v>
      </c>
      <c r="BE85" s="36" t="inlineStr">
        <is>
          <t>曹星</t>
        </is>
      </c>
      <c r="BF85" s="61" t="n">
        <v>30000</v>
      </c>
      <c r="BG85" s="61" t="n">
        <v>15000</v>
      </c>
      <c r="BH85" s="61" t="n">
        <v>0</v>
      </c>
      <c r="BI85" s="61" t="n">
        <v>15000</v>
      </c>
      <c r="BJ85" s="61" t="n">
        <v>0</v>
      </c>
      <c r="BK85" s="61" t="n">
        <v>29915.54</v>
      </c>
      <c r="BL85" s="61" t="n">
        <v>0</v>
      </c>
      <c r="BM85" s="36" t="n">
        <v>30000</v>
      </c>
      <c r="BN85" s="36" t="n">
        <v>15000</v>
      </c>
      <c r="BO85" s="36" t="n">
        <v>30132.93</v>
      </c>
      <c r="BP85" s="36" t="n">
        <v>14700</v>
      </c>
      <c r="BQ85" s="36" t="n">
        <v>89915.53999999999</v>
      </c>
      <c r="BR85" s="36" t="n">
        <v>0</v>
      </c>
    </row>
    <row r="86" customFormat="1" s="5">
      <c r="A86" s="34" t="inlineStr">
        <is>
          <t>广州集泰化工股份有限公司</t>
        </is>
      </c>
      <c r="B86" s="35" t="inlineStr">
        <is>
          <t>G140901054</t>
        </is>
      </c>
      <c r="C86" s="36" t="inlineStr">
        <is>
          <t>佛山市顺德区海诺贸易有限公司</t>
        </is>
      </c>
      <c r="D86" s="36" t="n"/>
      <c r="E86" s="36" t="n">
        <v>2</v>
      </c>
      <c r="F86" s="37" t="n">
        <v>46172</v>
      </c>
      <c r="G86" s="36" t="inlineStr">
        <is>
          <t>曹星</t>
        </is>
      </c>
      <c r="H86" s="36" t="n"/>
      <c r="I86" s="36" t="inlineStr">
        <is>
          <t>消泡剂、分散剂</t>
        </is>
      </c>
      <c r="J86" s="36" t="n">
        <v>180</v>
      </c>
      <c r="K86" s="36" t="n">
        <v>210</v>
      </c>
      <c r="L86" s="44" t="n">
        <v>0</v>
      </c>
      <c r="M86" s="36" t="inlineStr">
        <is>
          <t>银承/电汇</t>
        </is>
      </c>
      <c r="N86" s="36" t="n"/>
      <c r="O86" s="61" t="n">
        <v>67641.174</v>
      </c>
      <c r="P86" s="61" t="n"/>
      <c r="Q86" s="36" t="n"/>
      <c r="R86" s="36" t="n"/>
      <c r="S86" s="36" t="n">
        <v>67641.174</v>
      </c>
      <c r="T86" s="36" t="n"/>
      <c r="U86" s="36" t="n"/>
      <c r="V86" s="36" t="n"/>
      <c r="W86" s="36" t="n"/>
      <c r="X86" s="36" t="n"/>
      <c r="Y86" s="61" t="n">
        <v>205536.86</v>
      </c>
      <c r="Z86" s="61" t="n">
        <v>42440</v>
      </c>
      <c r="AA86" s="61" t="n">
        <v>17920</v>
      </c>
      <c r="AB86" s="61" t="n">
        <v>9660</v>
      </c>
      <c r="AC86" s="61" t="n">
        <v>0</v>
      </c>
      <c r="AD86" s="61" t="n">
        <v>16420</v>
      </c>
      <c r="AE86" s="61" t="n">
        <v>43940</v>
      </c>
      <c r="AF86" s="109" t="n">
        <v>41320</v>
      </c>
      <c r="AG86" s="66" t="n">
        <v>33836.86</v>
      </c>
      <c r="AH86" s="61" t="n">
        <v>0</v>
      </c>
      <c r="AI86" s="61" t="n">
        <v>0</v>
      </c>
      <c r="AJ86" s="61" t="n">
        <v>0</v>
      </c>
      <c r="AK86" s="61" t="n">
        <v>0</v>
      </c>
      <c r="AL86" s="61" t="n">
        <v>0</v>
      </c>
      <c r="AM86" s="61" t="n"/>
      <c r="AN86" s="61" t="n">
        <v>42440</v>
      </c>
      <c r="AO86" s="61" t="n">
        <v>17920</v>
      </c>
      <c r="AP86" s="61" t="n">
        <v>9660</v>
      </c>
      <c r="AQ86" s="61" t="n">
        <v>0</v>
      </c>
      <c r="AR86" s="61" t="n">
        <v>16420</v>
      </c>
      <c r="AS86" s="61" t="n">
        <v>43940</v>
      </c>
      <c r="AT86" s="61" t="n">
        <v>41320</v>
      </c>
      <c r="AU86" s="61" t="n">
        <v>34080</v>
      </c>
      <c r="AV86" s="61" t="n">
        <v>17120</v>
      </c>
      <c r="AW86" s="61" t="n">
        <v>22220</v>
      </c>
      <c r="AX86" s="61" t="n">
        <v>19020</v>
      </c>
      <c r="AY86" s="61" t="n">
        <v>24470</v>
      </c>
      <c r="AZ86" s="61" t="n">
        <v>77125</v>
      </c>
      <c r="BA86" s="61" t="inlineStr">
        <is>
          <t>否</t>
        </is>
      </c>
      <c r="BB86" s="61" t="n">
        <v>0</v>
      </c>
      <c r="BC86" s="61" t="n">
        <v>80198.14</v>
      </c>
      <c r="BD86" s="61" t="n">
        <v>6120</v>
      </c>
      <c r="BE86" s="36" t="inlineStr">
        <is>
          <t>曹星</t>
        </is>
      </c>
      <c r="BF86" s="61" t="n">
        <v>42440</v>
      </c>
      <c r="BG86" s="61" t="n">
        <v>17920</v>
      </c>
      <c r="BH86" s="61" t="n">
        <v>9660</v>
      </c>
      <c r="BI86" s="61" t="n">
        <v>0</v>
      </c>
      <c r="BJ86" s="61" t="n">
        <v>16420</v>
      </c>
      <c r="BK86" s="61" t="n">
        <v>43940</v>
      </c>
      <c r="BL86" s="61" t="n">
        <v>75156.86</v>
      </c>
      <c r="BM86" s="36" t="n">
        <v>42440</v>
      </c>
      <c r="BN86" s="36" t="n">
        <v>17920</v>
      </c>
      <c r="BO86" s="36" t="n">
        <v>80198.14</v>
      </c>
      <c r="BP86" s="36" t="n">
        <v>0</v>
      </c>
      <c r="BQ86" s="36" t="n">
        <v>205536.86</v>
      </c>
      <c r="BR86" s="36" t="n">
        <v>6120</v>
      </c>
    </row>
    <row r="87" customFormat="1" s="5">
      <c r="A87" s="34" t="inlineStr">
        <is>
          <t>广州集泰化工股份有限公司</t>
        </is>
      </c>
      <c r="B87" s="35" t="inlineStr">
        <is>
          <t>G140901058</t>
        </is>
      </c>
      <c r="C87" s="36" t="inlineStr">
        <is>
          <t>深哲新材料（广州）有限公司</t>
        </is>
      </c>
      <c r="D87" s="36" t="n"/>
      <c r="E87" s="36" t="n">
        <v>2</v>
      </c>
      <c r="F87" s="37" t="n">
        <v>46172</v>
      </c>
      <c r="G87" s="36" t="inlineStr">
        <is>
          <t>曹星</t>
        </is>
      </c>
      <c r="H87" s="36" t="n"/>
      <c r="I87" s="36" t="inlineStr">
        <is>
          <t>消泡剂</t>
        </is>
      </c>
      <c r="J87" s="36" t="n">
        <v>30</v>
      </c>
      <c r="K87" s="36" t="n">
        <v>90</v>
      </c>
      <c r="L87" s="44" t="n">
        <v>0</v>
      </c>
      <c r="M87" s="36" t="inlineStr">
        <is>
          <t>电汇</t>
        </is>
      </c>
      <c r="N87" s="36" t="n"/>
      <c r="O87" s="61" t="n">
        <v>44100</v>
      </c>
      <c r="P87" s="61" t="n"/>
      <c r="Q87" s="36" t="n"/>
      <c r="R87" s="36" t="n"/>
      <c r="S87" s="36" t="n">
        <v>44100</v>
      </c>
      <c r="T87" s="36" t="n"/>
      <c r="U87" s="36" t="n"/>
      <c r="V87" s="36" t="n"/>
      <c r="W87" s="36" t="n"/>
      <c r="X87" s="36" t="n"/>
      <c r="Y87" s="61" t="n">
        <v>70500</v>
      </c>
      <c r="Z87" s="61" t="n">
        <v>0</v>
      </c>
      <c r="AA87" s="61" t="n">
        <v>21500</v>
      </c>
      <c r="AB87" s="61" t="n">
        <v>0</v>
      </c>
      <c r="AC87" s="61" t="n">
        <v>0</v>
      </c>
      <c r="AD87" s="110" t="n">
        <v>10000</v>
      </c>
      <c r="AE87" s="66" t="n">
        <v>12000</v>
      </c>
      <c r="AF87" s="61" t="n">
        <v>0</v>
      </c>
      <c r="AG87" s="66" t="n">
        <v>18500</v>
      </c>
      <c r="AH87" s="66" t="n">
        <v>8500</v>
      </c>
      <c r="AI87" s="61" t="n">
        <v>0</v>
      </c>
      <c r="AJ87" s="61" t="n">
        <v>0</v>
      </c>
      <c r="AK87" s="61" t="n">
        <v>0</v>
      </c>
      <c r="AL87" s="61" t="n">
        <v>0</v>
      </c>
      <c r="AM87" s="61" t="n"/>
      <c r="AN87" s="61" t="n">
        <v>0</v>
      </c>
      <c r="AO87" s="61" t="n">
        <v>21500</v>
      </c>
      <c r="AP87" s="61" t="n">
        <v>0</v>
      </c>
      <c r="AQ87" s="61" t="n">
        <v>0</v>
      </c>
      <c r="AR87" s="61" t="n">
        <v>10000</v>
      </c>
      <c r="AS87" s="61" t="n">
        <v>12000</v>
      </c>
      <c r="AT87" s="61" t="n">
        <v>0</v>
      </c>
      <c r="AU87" s="61" t="n">
        <v>18500</v>
      </c>
      <c r="AV87" s="61" t="n">
        <v>8500</v>
      </c>
      <c r="AW87" s="61" t="n">
        <v>10700</v>
      </c>
      <c r="AX87" s="61" t="n">
        <v>5500</v>
      </c>
      <c r="AY87" s="61" t="n">
        <v>5500</v>
      </c>
      <c r="AZ87" s="61" t="n">
        <v>1600</v>
      </c>
      <c r="BA87" s="61" t="inlineStr">
        <is>
          <t>否</t>
        </is>
      </c>
      <c r="BB87" s="61" t="n">
        <v>0</v>
      </c>
      <c r="BC87" s="61" t="n">
        <v>10700</v>
      </c>
      <c r="BD87" s="61" t="n">
        <v>11500</v>
      </c>
      <c r="BE87" s="36" t="inlineStr">
        <is>
          <t>曹星</t>
        </is>
      </c>
      <c r="BF87" s="61" t="n">
        <v>0</v>
      </c>
      <c r="BG87" s="61" t="n">
        <v>21500</v>
      </c>
      <c r="BH87" s="61" t="n">
        <v>0</v>
      </c>
      <c r="BI87" s="61" t="n">
        <v>0</v>
      </c>
      <c r="BJ87" s="61" t="n">
        <v>10000</v>
      </c>
      <c r="BK87" s="61" t="n">
        <v>12000</v>
      </c>
      <c r="BL87" s="61" t="n">
        <v>27000</v>
      </c>
      <c r="BM87" s="36" t="n">
        <v>0</v>
      </c>
      <c r="BN87" s="36" t="n">
        <v>21500</v>
      </c>
      <c r="BO87" s="36" t="n">
        <v>10700</v>
      </c>
      <c r="BP87" s="36" t="n">
        <v>0</v>
      </c>
      <c r="BQ87" s="36" t="n">
        <v>70500</v>
      </c>
      <c r="BR87" s="36" t="n">
        <v>11500</v>
      </c>
    </row>
    <row r="88" customFormat="1" s="5">
      <c r="A88" s="34" t="inlineStr">
        <is>
          <t>广州集泰化工股份有限公司</t>
        </is>
      </c>
      <c r="B88" s="35" t="inlineStr">
        <is>
          <t>G140901066</t>
        </is>
      </c>
      <c r="C88" s="36" t="inlineStr">
        <is>
          <t>江苏合三弘纳米科技有限公司</t>
        </is>
      </c>
      <c r="D88" s="36" t="n"/>
      <c r="E88" s="36" t="n">
        <v>2</v>
      </c>
      <c r="F88" s="37" t="n">
        <v>46172</v>
      </c>
      <c r="G88" s="36" t="inlineStr">
        <is>
          <t>曹星</t>
        </is>
      </c>
      <c r="H88" s="36" t="n"/>
      <c r="I88" s="36" t="inlineStr">
        <is>
          <t>防锈填料</t>
        </is>
      </c>
      <c r="J88" s="36" t="n">
        <v>30</v>
      </c>
      <c r="K88" s="36" t="n">
        <v>60</v>
      </c>
      <c r="L88" s="44" t="n">
        <v>0</v>
      </c>
      <c r="M88" s="36" t="inlineStr">
        <is>
          <t>电汇/银承</t>
        </is>
      </c>
      <c r="N88" s="36" t="n"/>
      <c r="O88" s="61" t="n">
        <v>83376</v>
      </c>
      <c r="P88" s="61" t="n"/>
      <c r="Q88" s="36" t="n"/>
      <c r="R88" s="36" t="n"/>
      <c r="S88" s="36" t="n">
        <v>83376</v>
      </c>
      <c r="T88" s="36" t="n"/>
      <c r="U88" s="36" t="n"/>
      <c r="V88" s="36" t="n"/>
      <c r="W88" s="36" t="n"/>
      <c r="X88" s="36" t="n"/>
      <c r="Y88" s="61" t="n">
        <v>141500</v>
      </c>
      <c r="Z88" s="61" t="n">
        <v>48860</v>
      </c>
      <c r="AA88" s="61" t="n">
        <v>0</v>
      </c>
      <c r="AB88" s="111" t="n">
        <v>47600</v>
      </c>
      <c r="AC88" s="66" t="n">
        <v>45040</v>
      </c>
      <c r="AD88" s="61" t="n">
        <v>0</v>
      </c>
      <c r="AE88" s="61" t="n">
        <v>0</v>
      </c>
      <c r="AF88" s="61" t="n">
        <v>0</v>
      </c>
      <c r="AG88" s="61" t="n">
        <v>0</v>
      </c>
      <c r="AH88" s="61" t="n">
        <v>0</v>
      </c>
      <c r="AI88" s="61" t="n">
        <v>0</v>
      </c>
      <c r="AJ88" s="61" t="n">
        <v>0</v>
      </c>
      <c r="AK88" s="61" t="n">
        <v>0</v>
      </c>
      <c r="AL88" s="61" t="n">
        <v>0</v>
      </c>
      <c r="AM88" s="61" t="n"/>
      <c r="AN88" s="61" t="n">
        <v>48860</v>
      </c>
      <c r="AO88" s="61" t="n">
        <v>0</v>
      </c>
      <c r="AP88" s="61" t="n">
        <v>47600</v>
      </c>
      <c r="AQ88" s="61" t="n">
        <v>48440</v>
      </c>
      <c r="AR88" s="61" t="n">
        <v>95200</v>
      </c>
      <c r="AS88" s="61" t="n">
        <v>71400</v>
      </c>
      <c r="AT88" s="61" t="n">
        <v>840</v>
      </c>
      <c r="AU88" s="61" t="n">
        <v>142800</v>
      </c>
      <c r="AV88" s="61" t="n">
        <v>71920</v>
      </c>
      <c r="AW88" s="61" t="n">
        <v>120440</v>
      </c>
      <c r="AX88" s="61" t="n">
        <v>96000</v>
      </c>
      <c r="AY88" s="61" t="n">
        <v>144840</v>
      </c>
      <c r="AZ88" s="61" t="n">
        <v>48000</v>
      </c>
      <c r="BA88" s="61" t="inlineStr">
        <is>
          <t>否</t>
        </is>
      </c>
      <c r="BB88" s="61" t="n">
        <v>90000</v>
      </c>
      <c r="BC88" s="61" t="n">
        <v>170962.97</v>
      </c>
      <c r="BD88" s="61" t="n">
        <v>0</v>
      </c>
      <c r="BE88" s="36" t="inlineStr">
        <is>
          <t>曹星</t>
        </is>
      </c>
      <c r="BF88" s="61" t="n">
        <v>48860</v>
      </c>
      <c r="BG88" s="61" t="n">
        <v>0</v>
      </c>
      <c r="BH88" s="61" t="n">
        <v>47600</v>
      </c>
      <c r="BI88" s="61" t="n">
        <v>45040</v>
      </c>
      <c r="BJ88" s="61" t="n">
        <v>0</v>
      </c>
      <c r="BK88" s="61" t="n">
        <v>0</v>
      </c>
      <c r="BL88" s="61" t="n">
        <v>0</v>
      </c>
      <c r="BM88" s="36" t="n">
        <v>48860</v>
      </c>
      <c r="BN88" s="36" t="n">
        <v>0</v>
      </c>
      <c r="BO88" s="36" t="n">
        <v>170962.97</v>
      </c>
      <c r="BP88" s="36" t="n">
        <v>90000</v>
      </c>
      <c r="BQ88" s="36" t="n">
        <v>141500</v>
      </c>
      <c r="BR88" s="36" t="n">
        <v>0</v>
      </c>
    </row>
    <row r="89" customFormat="1" s="5">
      <c r="A89" s="34" t="inlineStr">
        <is>
          <t>广州集泰化工股份有限公司</t>
        </is>
      </c>
      <c r="B89" s="35" t="inlineStr">
        <is>
          <t>G140901068</t>
        </is>
      </c>
      <c r="C89" s="36" t="inlineStr">
        <is>
          <t>广东顺德维翔建材科技有限公司</t>
        </is>
      </c>
      <c r="D89" s="36" t="n"/>
      <c r="E89" s="36" t="n">
        <v>2</v>
      </c>
      <c r="F89" s="37" t="n">
        <v>46172</v>
      </c>
      <c r="G89" s="36" t="inlineStr">
        <is>
          <t>曹星</t>
        </is>
      </c>
      <c r="H89" s="36" t="n"/>
      <c r="I89" s="36" t="inlineStr">
        <is>
          <t>分散剂、增稠剂</t>
        </is>
      </c>
      <c r="J89" s="36" t="n">
        <v>180</v>
      </c>
      <c r="K89" s="36" t="n">
        <v>180</v>
      </c>
      <c r="L89" s="44" t="n">
        <v>0</v>
      </c>
      <c r="M89" s="36" t="inlineStr">
        <is>
          <t>银承/电汇</t>
        </is>
      </c>
      <c r="N89" s="36" t="n"/>
      <c r="O89" s="61" t="n">
        <v>306075.6</v>
      </c>
      <c r="P89" s="61" t="n"/>
      <c r="Q89" s="36" t="n"/>
      <c r="R89" s="36" t="n"/>
      <c r="S89" s="36" t="n">
        <v>306075.6</v>
      </c>
      <c r="T89" s="36" t="n"/>
      <c r="U89" s="36" t="n"/>
      <c r="V89" s="36" t="n"/>
      <c r="W89" s="36" t="n"/>
      <c r="X89" s="36" t="n"/>
      <c r="Y89" s="61" t="n">
        <v>719648</v>
      </c>
      <c r="Z89" s="61" t="n">
        <v>81366</v>
      </c>
      <c r="AA89" s="61" t="n">
        <v>38140</v>
      </c>
      <c r="AB89" s="61" t="n">
        <v>63445</v>
      </c>
      <c r="AC89" s="61" t="n">
        <v>100192</v>
      </c>
      <c r="AD89" s="61" t="n">
        <v>96421</v>
      </c>
      <c r="AE89" s="112" t="n">
        <v>54890</v>
      </c>
      <c r="AF89" s="66" t="n">
        <v>157137</v>
      </c>
      <c r="AG89" s="66" t="n">
        <v>128057</v>
      </c>
      <c r="AH89" s="61" t="n">
        <v>0</v>
      </c>
      <c r="AI89" s="61" t="n">
        <v>0</v>
      </c>
      <c r="AJ89" s="61" t="n">
        <v>0</v>
      </c>
      <c r="AK89" s="61" t="n">
        <v>0</v>
      </c>
      <c r="AL89" s="61" t="n">
        <v>0</v>
      </c>
      <c r="AM89" s="61" t="n"/>
      <c r="AN89" s="61" t="n">
        <v>81366</v>
      </c>
      <c r="AO89" s="61" t="n">
        <v>38140</v>
      </c>
      <c r="AP89" s="61" t="n">
        <v>63445</v>
      </c>
      <c r="AQ89" s="61" t="n">
        <v>100192</v>
      </c>
      <c r="AR89" s="61" t="n">
        <v>96421</v>
      </c>
      <c r="AS89" s="61" t="n">
        <v>54890</v>
      </c>
      <c r="AT89" s="61" t="n">
        <v>157137</v>
      </c>
      <c r="AU89" s="61" t="n">
        <v>128662</v>
      </c>
      <c r="AV89" s="61" t="n">
        <v>136805</v>
      </c>
      <c r="AW89" s="61" t="n">
        <v>125321</v>
      </c>
      <c r="AX89" s="61" t="n">
        <v>250921</v>
      </c>
      <c r="AY89" s="61" t="n">
        <v>73268</v>
      </c>
      <c r="AZ89" s="61" t="n">
        <v>127560</v>
      </c>
      <c r="BA89" s="61" t="inlineStr">
        <is>
          <t>否</t>
        </is>
      </c>
      <c r="BB89" s="61" t="n">
        <v>255000</v>
      </c>
      <c r="BC89" s="61" t="n">
        <v>495000</v>
      </c>
      <c r="BD89" s="61" t="n">
        <v>61786</v>
      </c>
      <c r="BE89" s="36" t="inlineStr">
        <is>
          <t>曹星</t>
        </is>
      </c>
      <c r="BF89" s="61" t="n">
        <v>81366</v>
      </c>
      <c r="BG89" s="61" t="n">
        <v>38140</v>
      </c>
      <c r="BH89" s="61" t="n">
        <v>63445</v>
      </c>
      <c r="BI89" s="61" t="n">
        <v>100192</v>
      </c>
      <c r="BJ89" s="61" t="n">
        <v>96421</v>
      </c>
      <c r="BK89" s="61" t="n">
        <v>54890</v>
      </c>
      <c r="BL89" s="61" t="n">
        <v>285194</v>
      </c>
      <c r="BM89" s="36" t="n">
        <v>81366</v>
      </c>
      <c r="BN89" s="36" t="n">
        <v>38140</v>
      </c>
      <c r="BO89" s="36" t="n">
        <v>495000</v>
      </c>
      <c r="BP89" s="36" t="n">
        <v>255000</v>
      </c>
      <c r="BQ89" s="36" t="n">
        <v>719648</v>
      </c>
      <c r="BR89" s="36" t="n">
        <v>61786</v>
      </c>
    </row>
    <row r="90" customFormat="1" s="5">
      <c r="A90" s="34" t="inlineStr">
        <is>
          <t>广州集泰化工股份有限公司</t>
        </is>
      </c>
      <c r="B90" s="35" t="inlineStr">
        <is>
          <t>G140901070</t>
        </is>
      </c>
      <c r="C90" s="36" t="inlineStr">
        <is>
          <t>深圳嘉德高新材料有限公司</t>
        </is>
      </c>
      <c r="D90" s="36" t="n"/>
      <c r="E90" s="36" t="n">
        <v>2</v>
      </c>
      <c r="F90" s="37" t="n">
        <v>46172</v>
      </c>
      <c r="G90" s="36" t="inlineStr">
        <is>
          <t>曹星</t>
        </is>
      </c>
      <c r="H90" s="36" t="n"/>
      <c r="I90" s="36" t="inlineStr">
        <is>
          <t>乳液、消泡剂</t>
        </is>
      </c>
      <c r="J90" s="36" t="n">
        <v>45</v>
      </c>
      <c r="K90" s="36" t="n">
        <v>45</v>
      </c>
      <c r="L90" s="44" t="n">
        <v>0</v>
      </c>
      <c r="M90" s="36" t="inlineStr">
        <is>
          <t>电汇</t>
        </is>
      </c>
      <c r="N90" s="36" t="n"/>
      <c r="O90" s="61" t="n">
        <v>540</v>
      </c>
      <c r="P90" s="61" t="n"/>
      <c r="Q90" s="36" t="n"/>
      <c r="R90" s="36" t="n"/>
      <c r="S90" s="36" t="n"/>
      <c r="T90" s="36" t="n"/>
      <c r="U90" s="36" t="n"/>
      <c r="V90" s="36" t="n"/>
      <c r="W90" s="36" t="n">
        <v>540</v>
      </c>
      <c r="X90" s="36" t="n"/>
      <c r="Y90" s="61" t="n">
        <v>3850</v>
      </c>
      <c r="Z90" s="61" t="n">
        <v>3250</v>
      </c>
      <c r="AA90" s="61" t="n">
        <v>0</v>
      </c>
      <c r="AB90" s="67" t="n">
        <v>600</v>
      </c>
      <c r="AC90" s="61" t="n">
        <v>0</v>
      </c>
      <c r="AD90" s="61" t="n">
        <v>0</v>
      </c>
      <c r="AE90" s="61" t="n">
        <v>0</v>
      </c>
      <c r="AF90" s="61" t="n">
        <v>0</v>
      </c>
      <c r="AG90" s="61" t="n">
        <v>0</v>
      </c>
      <c r="AH90" s="61" t="n">
        <v>0</v>
      </c>
      <c r="AI90" s="61" t="n">
        <v>0</v>
      </c>
      <c r="AJ90" s="61" t="n">
        <v>0</v>
      </c>
      <c r="AK90" s="61" t="n">
        <v>0</v>
      </c>
      <c r="AL90" s="61" t="n">
        <v>0</v>
      </c>
      <c r="AM90" s="61" t="n"/>
      <c r="AN90" s="61" t="n">
        <v>3250</v>
      </c>
      <c r="AO90" s="61" t="n">
        <v>0</v>
      </c>
      <c r="AP90" s="61" t="n">
        <v>600</v>
      </c>
      <c r="AQ90" s="61" t="n">
        <v>2840</v>
      </c>
      <c r="AR90" s="61" t="n">
        <v>6478.44</v>
      </c>
      <c r="AS90" s="61" t="n">
        <v>1200</v>
      </c>
      <c r="AT90" s="61" t="n">
        <v>600</v>
      </c>
      <c r="AU90" s="61" t="n">
        <v>600</v>
      </c>
      <c r="AV90" s="61" t="n">
        <v>1675</v>
      </c>
      <c r="AW90" s="61" t="n">
        <v>0</v>
      </c>
      <c r="AX90" s="61" t="n">
        <v>600</v>
      </c>
      <c r="AY90" s="61" t="n">
        <v>600</v>
      </c>
      <c r="AZ90" s="61" t="n">
        <v>8964</v>
      </c>
      <c r="BA90" s="61" t="inlineStr">
        <is>
          <t>否</t>
        </is>
      </c>
      <c r="BB90" s="61" t="n">
        <v>10518.44</v>
      </c>
      <c r="BC90" s="61" t="n">
        <v>10518.44</v>
      </c>
      <c r="BD90" s="61" t="n">
        <v>0</v>
      </c>
      <c r="BE90" s="36" t="inlineStr">
        <is>
          <t>曹星</t>
        </is>
      </c>
      <c r="BF90" s="61" t="n">
        <v>3250</v>
      </c>
      <c r="BG90" s="61" t="n">
        <v>0</v>
      </c>
      <c r="BH90" s="61" t="n">
        <v>600</v>
      </c>
      <c r="BI90" s="61" t="n">
        <v>0</v>
      </c>
      <c r="BJ90" s="61" t="n">
        <v>0</v>
      </c>
      <c r="BK90" s="61" t="n">
        <v>0</v>
      </c>
      <c r="BL90" s="61" t="n">
        <v>0</v>
      </c>
      <c r="BM90" s="36" t="n">
        <v>3250</v>
      </c>
      <c r="BN90" s="36" t="n">
        <v>0</v>
      </c>
      <c r="BO90" s="36" t="n">
        <v>10518.44</v>
      </c>
      <c r="BP90" s="36" t="n">
        <v>10518.44</v>
      </c>
      <c r="BQ90" s="36" t="n">
        <v>3850</v>
      </c>
      <c r="BR90" s="36" t="n">
        <v>0</v>
      </c>
    </row>
    <row r="91" customFormat="1" s="5">
      <c r="A91" s="34" t="inlineStr">
        <is>
          <t>广州集泰化工股份有限公司</t>
        </is>
      </c>
      <c r="B91" s="35" t="inlineStr">
        <is>
          <t>G140901073</t>
        </is>
      </c>
      <c r="C91" s="43" t="inlineStr">
        <is>
          <t>江西广源销售有限公司</t>
        </is>
      </c>
      <c r="D91" s="36" t="n"/>
      <c r="E91" s="36" t="n">
        <v>1</v>
      </c>
      <c r="F91" s="37" t="n">
        <v>46162</v>
      </c>
      <c r="G91" s="36" t="inlineStr">
        <is>
          <t>曹星</t>
        </is>
      </c>
      <c r="H91" s="36" t="n"/>
      <c r="I91" s="36" t="inlineStr">
        <is>
          <t>碳酸钙</t>
        </is>
      </c>
      <c r="J91" s="36" t="n">
        <v>90</v>
      </c>
      <c r="K91" s="36" t="n">
        <v>120</v>
      </c>
      <c r="L91" s="44" t="n">
        <v>0</v>
      </c>
      <c r="M91" s="36" t="inlineStr">
        <is>
          <t>银承/电汇</t>
        </is>
      </c>
      <c r="N91" s="36" t="n"/>
      <c r="O91" s="61" t="n">
        <v>145478.817</v>
      </c>
      <c r="P91" s="61" t="n"/>
      <c r="Q91" s="36" t="n"/>
      <c r="R91" s="36" t="n">
        <v>145478.817</v>
      </c>
      <c r="S91" s="36" t="n"/>
      <c r="T91" s="36" t="n"/>
      <c r="U91" s="36" t="n"/>
      <c r="V91" s="36" t="n"/>
      <c r="W91" s="36" t="n"/>
      <c r="X91" s="36" t="n"/>
      <c r="Y91" s="61" t="n">
        <v>249093.13</v>
      </c>
      <c r="Z91" s="61" t="n">
        <v>0</v>
      </c>
      <c r="AA91" s="61" t="n">
        <v>87450</v>
      </c>
      <c r="AB91" s="61" t="n">
        <v>0</v>
      </c>
      <c r="AC91" s="113" t="n">
        <v>17490</v>
      </c>
      <c r="AD91" s="66" t="n">
        <v>88800</v>
      </c>
      <c r="AE91" s="66" t="n">
        <v>55353.13</v>
      </c>
      <c r="AF91" s="61" t="n">
        <v>0</v>
      </c>
      <c r="AG91" s="61" t="n">
        <v>0</v>
      </c>
      <c r="AH91" s="61" t="n">
        <v>0</v>
      </c>
      <c r="AI91" s="61" t="n">
        <v>0</v>
      </c>
      <c r="AJ91" s="61" t="n">
        <v>0</v>
      </c>
      <c r="AK91" s="61" t="n">
        <v>0</v>
      </c>
      <c r="AL91" s="61" t="n">
        <v>0</v>
      </c>
      <c r="AM91" s="61" t="n"/>
      <c r="AN91" s="61" t="n">
        <v>0</v>
      </c>
      <c r="AO91" s="61" t="n">
        <v>87450</v>
      </c>
      <c r="AP91" s="61" t="n">
        <v>0</v>
      </c>
      <c r="AQ91" s="61" t="n">
        <v>17490</v>
      </c>
      <c r="AR91" s="61" t="n">
        <v>88800</v>
      </c>
      <c r="AS91" s="61" t="n">
        <v>56280</v>
      </c>
      <c r="AT91" s="61" t="n">
        <v>51410</v>
      </c>
      <c r="AU91" s="61" t="n">
        <v>92900</v>
      </c>
      <c r="AV91" s="61" t="n">
        <v>86390</v>
      </c>
      <c r="AW91" s="61" t="n">
        <v>164650</v>
      </c>
      <c r="AX91" s="61" t="n">
        <v>0</v>
      </c>
      <c r="AY91" s="61" t="n">
        <v>36850</v>
      </c>
      <c r="AZ91" s="61" t="n">
        <v>117360</v>
      </c>
      <c r="BA91" s="61" t="inlineStr">
        <is>
          <t>否</t>
        </is>
      </c>
      <c r="BB91" s="61" t="n">
        <v>76000</v>
      </c>
      <c r="BC91" s="61" t="n">
        <v>76000</v>
      </c>
      <c r="BD91" s="61" t="n">
        <v>69960.12</v>
      </c>
      <c r="BE91" s="36" t="inlineStr">
        <is>
          <t>曹星</t>
        </is>
      </c>
      <c r="BF91" s="61" t="n">
        <v>0</v>
      </c>
      <c r="BG91" s="61" t="n">
        <v>87450</v>
      </c>
      <c r="BH91" s="61" t="n">
        <v>0</v>
      </c>
      <c r="BI91" s="61" t="n">
        <v>17490</v>
      </c>
      <c r="BJ91" s="61" t="n">
        <v>88800</v>
      </c>
      <c r="BK91" s="61" t="n">
        <v>55353.13</v>
      </c>
      <c r="BL91" s="61" t="n">
        <v>0</v>
      </c>
      <c r="BM91" s="36" t="n">
        <v>0</v>
      </c>
      <c r="BN91" s="36" t="n">
        <v>87450</v>
      </c>
      <c r="BO91" s="36" t="n">
        <v>76000</v>
      </c>
      <c r="BP91" s="36" t="n">
        <v>76000</v>
      </c>
      <c r="BQ91" s="36" t="n">
        <v>249093.13</v>
      </c>
      <c r="BR91" s="36" t="n">
        <v>69960.12</v>
      </c>
    </row>
    <row r="92" customFormat="1" s="5">
      <c r="A92" s="34" t="inlineStr">
        <is>
          <t>广州集泰化工股份有限公司</t>
        </is>
      </c>
      <c r="B92" s="35" t="inlineStr">
        <is>
          <t>G140901088</t>
        </is>
      </c>
      <c r="C92" s="36" t="inlineStr">
        <is>
          <t>江苏铂聚石化有限公司</t>
        </is>
      </c>
      <c r="D92" s="36" t="n"/>
      <c r="E92" s="36" t="n">
        <v>2</v>
      </c>
      <c r="F92" s="37" t="n">
        <v>46172</v>
      </c>
      <c r="G92" s="36" t="inlineStr">
        <is>
          <t>曹星</t>
        </is>
      </c>
      <c r="H92" s="36" t="n"/>
      <c r="I92" s="36" t="inlineStr">
        <is>
          <t>色粉</t>
        </is>
      </c>
      <c r="J92" s="36" t="n">
        <v>30</v>
      </c>
      <c r="K92" s="36" t="n">
        <v>90</v>
      </c>
      <c r="L92" s="44" t="n">
        <v>0</v>
      </c>
      <c r="M92" s="36" t="inlineStr">
        <is>
          <t>电汇</t>
        </is>
      </c>
      <c r="N92" s="36" t="n"/>
      <c r="O92" s="61" t="n">
        <v>27000</v>
      </c>
      <c r="P92" s="61" t="n"/>
      <c r="Q92" s="36" t="n"/>
      <c r="R92" s="36" t="n"/>
      <c r="S92" s="36" t="n"/>
      <c r="T92" s="36" t="n"/>
      <c r="U92" s="36" t="n"/>
      <c r="V92" s="36" t="n"/>
      <c r="W92" s="36" t="n">
        <v>27000</v>
      </c>
      <c r="X92" s="36" t="n"/>
      <c r="Y92" s="61" t="n">
        <v>60000</v>
      </c>
      <c r="Z92" s="61" t="n">
        <v>0</v>
      </c>
      <c r="AA92" s="61" t="n">
        <v>30000</v>
      </c>
      <c r="AB92" s="61" t="n">
        <v>0</v>
      </c>
      <c r="AC92" s="61" t="n">
        <v>0</v>
      </c>
      <c r="AD92" s="61" t="n">
        <v>0</v>
      </c>
      <c r="AE92" s="61" t="n">
        <v>0</v>
      </c>
      <c r="AF92" s="67" t="n">
        <v>30000</v>
      </c>
      <c r="AG92" s="61" t="n">
        <v>0</v>
      </c>
      <c r="AH92" s="61" t="n">
        <v>0</v>
      </c>
      <c r="AI92" s="61" t="n">
        <v>0</v>
      </c>
      <c r="AJ92" s="61" t="n">
        <v>0</v>
      </c>
      <c r="AK92" s="61" t="n">
        <v>0</v>
      </c>
      <c r="AL92" s="61" t="n">
        <v>0</v>
      </c>
      <c r="AM92" s="61" t="n"/>
      <c r="AN92" s="61" t="n">
        <v>0</v>
      </c>
      <c r="AO92" s="61" t="n">
        <v>30000</v>
      </c>
      <c r="AP92" s="61" t="n">
        <v>0</v>
      </c>
      <c r="AQ92" s="61" t="n">
        <v>0</v>
      </c>
      <c r="AR92" s="61" t="n">
        <v>0</v>
      </c>
      <c r="AS92" s="61" t="n">
        <v>0</v>
      </c>
      <c r="AT92" s="61" t="n">
        <v>30000</v>
      </c>
      <c r="AU92" s="61" t="n">
        <v>0</v>
      </c>
      <c r="AV92" s="61" t="n">
        <v>60000</v>
      </c>
      <c r="AW92" s="61" t="n">
        <v>30000</v>
      </c>
      <c r="AX92" s="61" t="n">
        <v>0</v>
      </c>
      <c r="AY92" s="61" t="n">
        <v>0</v>
      </c>
      <c r="AZ92" s="61" t="n">
        <v>0</v>
      </c>
      <c r="BA92" s="61" t="inlineStr">
        <is>
          <t>否</t>
        </is>
      </c>
      <c r="BB92" s="61" t="n">
        <v>60000</v>
      </c>
      <c r="BC92" s="61" t="n">
        <v>90000</v>
      </c>
      <c r="BD92" s="61" t="n">
        <v>0</v>
      </c>
      <c r="BE92" s="36" t="inlineStr">
        <is>
          <t>曹星</t>
        </is>
      </c>
      <c r="BF92" s="61" t="n">
        <v>0</v>
      </c>
      <c r="BG92" s="61" t="n">
        <v>30000</v>
      </c>
      <c r="BH92" s="61" t="n">
        <v>0</v>
      </c>
      <c r="BI92" s="61" t="n">
        <v>0</v>
      </c>
      <c r="BJ92" s="61" t="n">
        <v>0</v>
      </c>
      <c r="BK92" s="61" t="n">
        <v>0</v>
      </c>
      <c r="BL92" s="61" t="n">
        <v>30000</v>
      </c>
      <c r="BM92" s="36" t="n">
        <v>0</v>
      </c>
      <c r="BN92" s="36" t="n">
        <v>30000</v>
      </c>
      <c r="BO92" s="36" t="n">
        <v>90000</v>
      </c>
      <c r="BP92" s="36" t="n">
        <v>60000</v>
      </c>
      <c r="BQ92" s="36" t="n">
        <v>60000</v>
      </c>
      <c r="BR92" s="36" t="n">
        <v>0</v>
      </c>
    </row>
    <row r="93" customFormat="1" s="5">
      <c r="A93" s="34" t="inlineStr">
        <is>
          <t>广州集泰化工股份有限公司</t>
        </is>
      </c>
      <c r="B93" s="35" t="inlineStr">
        <is>
          <t>G140901090</t>
        </is>
      </c>
      <c r="C93" s="43" t="inlineStr">
        <is>
          <t>上海御捷新材料科技有限公司</t>
        </is>
      </c>
      <c r="D93" s="36" t="n"/>
      <c r="E93" s="36" t="n">
        <v>2</v>
      </c>
      <c r="F93" s="37" t="n">
        <v>46162</v>
      </c>
      <c r="G93" s="36" t="inlineStr">
        <is>
          <t>曹星</t>
        </is>
      </c>
      <c r="H93" s="36" t="n"/>
      <c r="I93" s="36" t="inlineStr">
        <is>
          <t>防锈剂</t>
        </is>
      </c>
      <c r="J93" s="36" t="n">
        <v>30</v>
      </c>
      <c r="K93" s="36" t="n">
        <v>60</v>
      </c>
      <c r="L93" s="44" t="n">
        <v>0</v>
      </c>
      <c r="M93" s="36" t="inlineStr">
        <is>
          <t>电汇</t>
        </is>
      </c>
      <c r="N93" s="36" t="n"/>
      <c r="O93" s="61" t="n">
        <v>40032</v>
      </c>
      <c r="P93" s="61" t="n"/>
      <c r="Q93" s="36" t="n"/>
      <c r="R93" s="36" t="n"/>
      <c r="S93" s="36" t="n">
        <v>40032</v>
      </c>
      <c r="T93" s="36" t="n"/>
      <c r="U93" s="36" t="n"/>
      <c r="V93" s="36" t="n"/>
      <c r="W93" s="36" t="n"/>
      <c r="X93" s="36" t="n"/>
      <c r="Y93" s="61" t="n">
        <v>44480</v>
      </c>
      <c r="Z93" s="61" t="n">
        <v>0</v>
      </c>
      <c r="AA93" s="67" t="n">
        <v>44480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1" t="n">
        <v>0</v>
      </c>
      <c r="AH93" s="61" t="n">
        <v>0</v>
      </c>
      <c r="AI93" s="61" t="n">
        <v>0</v>
      </c>
      <c r="AJ93" s="61" t="n">
        <v>0</v>
      </c>
      <c r="AK93" s="61" t="n">
        <v>0</v>
      </c>
      <c r="AL93" s="61" t="n">
        <v>0</v>
      </c>
      <c r="AM93" s="61" t="n"/>
      <c r="AN93" s="61" t="n">
        <v>0</v>
      </c>
      <c r="AO93" s="61" t="n">
        <v>44480</v>
      </c>
      <c r="AP93" s="61" t="n">
        <v>0</v>
      </c>
      <c r="AQ93" s="61" t="n">
        <v>0</v>
      </c>
      <c r="AR93" s="61" t="n">
        <v>88960</v>
      </c>
      <c r="AS93" s="61" t="n">
        <v>0</v>
      </c>
      <c r="AT93" s="61" t="n">
        <v>0</v>
      </c>
      <c r="AU93" s="61" t="n">
        <v>44480</v>
      </c>
      <c r="AV93" s="61" t="n">
        <v>44480</v>
      </c>
      <c r="AW93" s="61" t="n">
        <v>0</v>
      </c>
      <c r="AX93" s="61" t="n">
        <v>44480</v>
      </c>
      <c r="AY93" s="61" t="n">
        <v>0</v>
      </c>
      <c r="AZ93" s="61" t="n">
        <v>0</v>
      </c>
      <c r="BA93" s="61" t="inlineStr">
        <is>
          <t>否</t>
        </is>
      </c>
      <c r="BB93" s="61" t="n">
        <v>0</v>
      </c>
      <c r="BC93" s="61" t="n">
        <v>88960</v>
      </c>
      <c r="BD93" s="61" t="n">
        <v>0</v>
      </c>
      <c r="BE93" s="36" t="inlineStr">
        <is>
          <t>曹星</t>
        </is>
      </c>
      <c r="BF93" s="61" t="n">
        <v>0</v>
      </c>
      <c r="BG93" s="61" t="n">
        <v>44480</v>
      </c>
      <c r="BH93" s="61" t="n">
        <v>0</v>
      </c>
      <c r="BI93" s="61" t="n">
        <v>0</v>
      </c>
      <c r="BJ93" s="61" t="n">
        <v>0</v>
      </c>
      <c r="BK93" s="61" t="n">
        <v>0</v>
      </c>
      <c r="BL93" s="61" t="n">
        <v>0</v>
      </c>
      <c r="BM93" s="36" t="n">
        <v>0</v>
      </c>
      <c r="BN93" s="36" t="n">
        <v>44480</v>
      </c>
      <c r="BO93" s="36" t="n">
        <v>88960</v>
      </c>
      <c r="BP93" s="36" t="n">
        <v>0</v>
      </c>
      <c r="BQ93" s="36" t="n">
        <v>44480</v>
      </c>
      <c r="BR93" s="36" t="n">
        <v>0</v>
      </c>
    </row>
    <row r="94" customFormat="1" s="5">
      <c r="A94" s="34" t="inlineStr">
        <is>
          <t>广州集泰化工股份有限公司</t>
        </is>
      </c>
      <c r="B94" s="35" t="inlineStr">
        <is>
          <t>G140901091</t>
        </is>
      </c>
      <c r="C94" s="36" t="inlineStr">
        <is>
          <t>黄山联固新材料科技有限公司</t>
        </is>
      </c>
      <c r="D94" s="36" t="n"/>
      <c r="E94" s="36" t="n">
        <v>1</v>
      </c>
      <c r="F94" s="37" t="n">
        <v>46172</v>
      </c>
      <c r="G94" s="36" t="inlineStr">
        <is>
          <t>曹星</t>
        </is>
      </c>
      <c r="H94" s="36" t="n"/>
      <c r="I94" s="36" t="inlineStr">
        <is>
          <t>环氧</t>
        </is>
      </c>
      <c r="J94" s="36" t="n">
        <v>150</v>
      </c>
      <c r="K94" s="36" t="n">
        <v>150</v>
      </c>
      <c r="L94" s="44" t="n">
        <v>0</v>
      </c>
      <c r="M94" s="36" t="inlineStr">
        <is>
          <t>商承/银承/电汇/云信</t>
        </is>
      </c>
      <c r="N94" s="36" t="n"/>
      <c r="O94" s="61" t="n">
        <v>778019.895</v>
      </c>
      <c r="P94" s="61" t="n"/>
      <c r="Q94" s="36" t="n"/>
      <c r="R94" s="36" t="n"/>
      <c r="S94" s="36" t="n">
        <v>778019.895</v>
      </c>
      <c r="T94" s="36" t="n"/>
      <c r="U94" s="36" t="n"/>
      <c r="V94" s="36" t="n"/>
      <c r="W94" s="36" t="n"/>
      <c r="X94" s="36" t="n"/>
      <c r="Y94" s="61" t="n">
        <v>1379493.55</v>
      </c>
      <c r="Z94" s="61" t="n">
        <v>14700</v>
      </c>
      <c r="AA94" s="61" t="n">
        <v>233865</v>
      </c>
      <c r="AB94" s="61" t="n">
        <v>205062</v>
      </c>
      <c r="AC94" s="61" t="n">
        <v>61400</v>
      </c>
      <c r="AD94" s="114" t="n">
        <v>301750</v>
      </c>
      <c r="AE94" s="66" t="n">
        <v>417360</v>
      </c>
      <c r="AF94" s="66" t="n">
        <v>145356.55</v>
      </c>
      <c r="AG94" s="61" t="n">
        <v>0</v>
      </c>
      <c r="AH94" s="61" t="n">
        <v>0</v>
      </c>
      <c r="AI94" s="61" t="n">
        <v>0</v>
      </c>
      <c r="AJ94" s="61" t="n">
        <v>0</v>
      </c>
      <c r="AK94" s="61" t="n">
        <v>0</v>
      </c>
      <c r="AL94" s="61" t="n">
        <v>0</v>
      </c>
      <c r="AM94" s="61" t="n"/>
      <c r="AN94" s="61" t="n">
        <v>14700</v>
      </c>
      <c r="AO94" s="61" t="n">
        <v>233865</v>
      </c>
      <c r="AP94" s="61" t="n">
        <v>205062</v>
      </c>
      <c r="AQ94" s="61" t="n">
        <v>61400</v>
      </c>
      <c r="AR94" s="61" t="n">
        <v>301750</v>
      </c>
      <c r="AS94" s="61" t="n">
        <v>417360</v>
      </c>
      <c r="AT94" s="61" t="n">
        <v>266800</v>
      </c>
      <c r="AU94" s="61" t="n">
        <v>632056</v>
      </c>
      <c r="AV94" s="61" t="n">
        <v>369200</v>
      </c>
      <c r="AW94" s="61" t="n">
        <v>759130</v>
      </c>
      <c r="AX94" s="61" t="n">
        <v>623200</v>
      </c>
      <c r="AY94" s="61" t="n">
        <v>912600</v>
      </c>
      <c r="AZ94" s="61" t="n">
        <v>1194300</v>
      </c>
      <c r="BA94" s="61" t="inlineStr">
        <is>
          <t>否</t>
        </is>
      </c>
      <c r="BB94" s="61" t="n">
        <v>118489.85</v>
      </c>
      <c r="BC94" s="61" t="n">
        <v>2000011.14</v>
      </c>
      <c r="BD94" s="61" t="n">
        <v>0</v>
      </c>
      <c r="BE94" s="36" t="inlineStr">
        <is>
          <t>曹星</t>
        </is>
      </c>
      <c r="BF94" s="61" t="n">
        <v>14700</v>
      </c>
      <c r="BG94" s="61" t="n">
        <v>233865</v>
      </c>
      <c r="BH94" s="61" t="n">
        <v>205062</v>
      </c>
      <c r="BI94" s="61" t="n">
        <v>61400</v>
      </c>
      <c r="BJ94" s="61" t="n">
        <v>301750</v>
      </c>
      <c r="BK94" s="61" t="n">
        <v>417360</v>
      </c>
      <c r="BL94" s="61" t="n">
        <v>145356.55</v>
      </c>
      <c r="BM94" s="36" t="n">
        <v>14700</v>
      </c>
      <c r="BN94" s="36" t="n">
        <v>233865</v>
      </c>
      <c r="BO94" s="36" t="n">
        <v>2000011.14</v>
      </c>
      <c r="BP94" s="36" t="n">
        <v>118489.85</v>
      </c>
      <c r="BQ94" s="36" t="n">
        <v>1379493.55</v>
      </c>
      <c r="BR94" s="36" t="n">
        <v>0</v>
      </c>
    </row>
    <row r="95" customFormat="1" s="5">
      <c r="A95" s="34" t="inlineStr">
        <is>
          <t>广州集泰化工股份有限公司</t>
        </is>
      </c>
      <c r="B95" s="35" t="inlineStr">
        <is>
          <t>G140901092</t>
        </is>
      </c>
      <c r="C95" s="36" t="inlineStr">
        <is>
          <t>广州文伯化工有限公司</t>
        </is>
      </c>
      <c r="D95" s="36" t="n"/>
      <c r="E95" s="36" t="n">
        <v>2</v>
      </c>
      <c r="F95" s="37" t="n">
        <v>46172</v>
      </c>
      <c r="G95" s="36" t="inlineStr">
        <is>
          <t>曹星</t>
        </is>
      </c>
      <c r="H95" s="36" t="n"/>
      <c r="I95" s="36" t="inlineStr">
        <is>
          <t>润湿剂、流平剂</t>
        </is>
      </c>
      <c r="J95" s="36" t="n">
        <v>60</v>
      </c>
      <c r="K95" s="36" t="n">
        <v>90</v>
      </c>
      <c r="L95" s="44" t="n">
        <v>0</v>
      </c>
      <c r="M95" s="36" t="inlineStr">
        <is>
          <t>银承/电汇</t>
        </is>
      </c>
      <c r="N95" s="36" t="n"/>
      <c r="O95" s="61" t="n">
        <v>87340.5</v>
      </c>
      <c r="P95" s="61" t="n"/>
      <c r="Q95" s="36" t="n"/>
      <c r="R95" s="36" t="n"/>
      <c r="S95" s="36" t="n">
        <v>87340.5</v>
      </c>
      <c r="T95" s="36" t="n"/>
      <c r="U95" s="36" t="n"/>
      <c r="V95" s="36" t="n"/>
      <c r="W95" s="36" t="n"/>
      <c r="X95" s="36" t="n"/>
      <c r="Y95" s="61" t="n">
        <v>151515</v>
      </c>
      <c r="Z95" s="61" t="n">
        <v>54470</v>
      </c>
      <c r="AA95" s="61" t="n">
        <v>0</v>
      </c>
      <c r="AB95" s="61" t="n">
        <v>0</v>
      </c>
      <c r="AC95" s="115" t="n">
        <v>41000</v>
      </c>
      <c r="AD95" s="66" t="n">
        <v>56045</v>
      </c>
      <c r="AE95" s="61" t="n">
        <v>0</v>
      </c>
      <c r="AF95" s="61" t="n">
        <v>0</v>
      </c>
      <c r="AG95" s="61" t="n">
        <v>0</v>
      </c>
      <c r="AH95" s="61" t="n">
        <v>0</v>
      </c>
      <c r="AI95" s="61" t="n">
        <v>0</v>
      </c>
      <c r="AJ95" s="61" t="n">
        <v>0</v>
      </c>
      <c r="AK95" s="61" t="n">
        <v>0</v>
      </c>
      <c r="AL95" s="61" t="n">
        <v>0</v>
      </c>
      <c r="AM95" s="61" t="n"/>
      <c r="AN95" s="61" t="n">
        <v>54470</v>
      </c>
      <c r="AO95" s="61" t="n">
        <v>0</v>
      </c>
      <c r="AP95" s="61" t="n">
        <v>0</v>
      </c>
      <c r="AQ95" s="61" t="n">
        <v>41000</v>
      </c>
      <c r="AR95" s="61" t="n">
        <v>56700</v>
      </c>
      <c r="AS95" s="61" t="n">
        <v>0</v>
      </c>
      <c r="AT95" s="61" t="n">
        <v>13200</v>
      </c>
      <c r="AU95" s="61" t="n">
        <v>41000</v>
      </c>
      <c r="AV95" s="61" t="n">
        <v>54200</v>
      </c>
      <c r="AW95" s="61" t="n">
        <v>47750</v>
      </c>
      <c r="AX95" s="61" t="n">
        <v>46125</v>
      </c>
      <c r="AY95" s="61" t="n">
        <v>41000</v>
      </c>
      <c r="AZ95" s="61" t="n">
        <v>75000</v>
      </c>
      <c r="BA95" s="61" t="inlineStr">
        <is>
          <t>否</t>
        </is>
      </c>
      <c r="BB95" s="61" t="n">
        <v>13000</v>
      </c>
      <c r="BC95" s="61" t="n">
        <v>102930</v>
      </c>
      <c r="BD95" s="61" t="n">
        <v>0</v>
      </c>
      <c r="BE95" s="36" t="inlineStr">
        <is>
          <t>曹星</t>
        </is>
      </c>
      <c r="BF95" s="61" t="n">
        <v>54470</v>
      </c>
      <c r="BG95" s="61" t="n">
        <v>0</v>
      </c>
      <c r="BH95" s="61" t="n">
        <v>0</v>
      </c>
      <c r="BI95" s="61" t="n">
        <v>41000</v>
      </c>
      <c r="BJ95" s="61" t="n">
        <v>56045</v>
      </c>
      <c r="BK95" s="61" t="n">
        <v>0</v>
      </c>
      <c r="BL95" s="61" t="n">
        <v>0</v>
      </c>
      <c r="BM95" s="36" t="n">
        <v>54470</v>
      </c>
      <c r="BN95" s="36" t="n">
        <v>0</v>
      </c>
      <c r="BO95" s="36" t="n">
        <v>102930</v>
      </c>
      <c r="BP95" s="36" t="n">
        <v>13000</v>
      </c>
      <c r="BQ95" s="36" t="n">
        <v>151515</v>
      </c>
      <c r="BR95" s="36" t="n">
        <v>0</v>
      </c>
    </row>
    <row r="96" customFormat="1" s="5">
      <c r="A96" s="34" t="inlineStr">
        <is>
          <t>广州集泰化工股份有限公司</t>
        </is>
      </c>
      <c r="B96" s="35" t="inlineStr">
        <is>
          <t>G140901094</t>
        </is>
      </c>
      <c r="C96" s="36" t="inlineStr">
        <is>
          <t>湖南金箭新材料科技有限公司</t>
        </is>
      </c>
      <c r="D96" s="36" t="n"/>
      <c r="E96" s="36" t="n">
        <v>2</v>
      </c>
      <c r="F96" s="37" t="n">
        <v>46172</v>
      </c>
      <c r="G96" s="36" t="inlineStr">
        <is>
          <t>曹星</t>
        </is>
      </c>
      <c r="H96" s="36" t="n"/>
      <c r="I96" s="44" t="n"/>
      <c r="J96" s="36" t="n">
        <v>30</v>
      </c>
      <c r="K96" s="36" t="n">
        <v>90</v>
      </c>
      <c r="L96" s="44" t="n">
        <v>0</v>
      </c>
      <c r="M96" s="36" t="inlineStr">
        <is>
          <t>银承/电汇</t>
        </is>
      </c>
      <c r="N96" s="36" t="n"/>
      <c r="O96" s="61" t="n"/>
      <c r="P96" s="61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61" t="n">
        <v>34000</v>
      </c>
      <c r="Z96" s="61" t="n">
        <v>34000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1" t="n">
        <v>0</v>
      </c>
      <c r="AH96" s="61" t="n">
        <v>0</v>
      </c>
      <c r="AI96" s="61" t="n">
        <v>0</v>
      </c>
      <c r="AJ96" s="61" t="n">
        <v>0</v>
      </c>
      <c r="AK96" s="61" t="n">
        <v>0</v>
      </c>
      <c r="AL96" s="61" t="n">
        <v>0</v>
      </c>
      <c r="AM96" s="61" t="n"/>
      <c r="AN96" s="61" t="n">
        <v>34000</v>
      </c>
      <c r="AO96" s="61" t="n">
        <v>0</v>
      </c>
      <c r="AP96" s="61" t="n">
        <v>0</v>
      </c>
      <c r="AQ96" s="61" t="n">
        <v>0</v>
      </c>
      <c r="AR96" s="61" t="n">
        <v>0</v>
      </c>
      <c r="AS96" s="61" t="n">
        <v>0</v>
      </c>
      <c r="AT96" s="61" t="n">
        <v>0</v>
      </c>
      <c r="AU96" s="61" t="n">
        <v>0</v>
      </c>
      <c r="AV96" s="61" t="n">
        <v>0</v>
      </c>
      <c r="AW96" s="61" t="n">
        <v>0</v>
      </c>
      <c r="AX96" s="61" t="n">
        <v>0</v>
      </c>
      <c r="AY96" s="61" t="n">
        <v>34000</v>
      </c>
      <c r="AZ96" s="61" t="n">
        <v>0</v>
      </c>
      <c r="BA96" s="61" t="inlineStr">
        <is>
          <t>否</t>
        </is>
      </c>
      <c r="BB96" s="61" t="n">
        <v>0</v>
      </c>
      <c r="BC96" s="61" t="n">
        <v>0</v>
      </c>
      <c r="BD96" s="61" t="n">
        <v>0</v>
      </c>
      <c r="BE96" s="36" t="inlineStr">
        <is>
          <t>曹星</t>
        </is>
      </c>
      <c r="BF96" s="61" t="n">
        <v>34000</v>
      </c>
      <c r="BG96" s="61" t="n">
        <v>0</v>
      </c>
      <c r="BH96" s="61" t="n">
        <v>0</v>
      </c>
      <c r="BI96" s="61" t="n">
        <v>0</v>
      </c>
      <c r="BJ96" s="61" t="n">
        <v>0</v>
      </c>
      <c r="BK96" s="61" t="n">
        <v>0</v>
      </c>
      <c r="BL96" s="61" t="n">
        <v>0</v>
      </c>
      <c r="BM96" s="36" t="n">
        <v>34000</v>
      </c>
      <c r="BN96" s="36" t="n">
        <v>0</v>
      </c>
      <c r="BO96" s="36" t="n">
        <v>0</v>
      </c>
      <c r="BP96" s="36" t="n">
        <v>0</v>
      </c>
      <c r="BQ96" s="36" t="n">
        <v>34000</v>
      </c>
      <c r="BR96" s="36" t="n">
        <v>0</v>
      </c>
    </row>
    <row r="97" customFormat="1" s="5">
      <c r="A97" s="34" t="inlineStr">
        <is>
          <t>广州集泰化工股份有限公司</t>
        </is>
      </c>
      <c r="B97" s="35" t="inlineStr">
        <is>
          <t>G140901109</t>
        </is>
      </c>
      <c r="C97" s="36" t="inlineStr">
        <is>
          <t>碳氢氧化工科技（深圳）有限公司</t>
        </is>
      </c>
      <c r="D97" s="36" t="n"/>
      <c r="E97" s="36" t="n">
        <v>2</v>
      </c>
      <c r="F97" s="37" t="n">
        <v>46172</v>
      </c>
      <c r="G97" s="36" t="inlineStr">
        <is>
          <t>曹星</t>
        </is>
      </c>
      <c r="H97" s="36" t="n"/>
      <c r="I97" s="36" t="inlineStr">
        <is>
          <t>防锈剂</t>
        </is>
      </c>
      <c r="J97" s="36" t="n">
        <v>30</v>
      </c>
      <c r="K97" s="36" t="n">
        <v>90</v>
      </c>
      <c r="L97" s="44" t="n">
        <v>0</v>
      </c>
      <c r="M97" s="36" t="inlineStr">
        <is>
          <t>电汇</t>
        </is>
      </c>
      <c r="N97" s="36" t="n"/>
      <c r="O97" s="61" t="n">
        <v>7875</v>
      </c>
      <c r="P97" s="61" t="n"/>
      <c r="Q97" s="36" t="n"/>
      <c r="R97" s="36" t="n"/>
      <c r="S97" s="36" t="n"/>
      <c r="T97" s="36" t="n"/>
      <c r="U97" s="36" t="n"/>
      <c r="V97" s="36" t="n"/>
      <c r="W97" s="36" t="n">
        <v>7875</v>
      </c>
      <c r="X97" s="36" t="n"/>
      <c r="Y97" s="61" t="n">
        <v>17500</v>
      </c>
      <c r="Z97" s="61" t="n">
        <v>0</v>
      </c>
      <c r="AA97" s="61" t="n">
        <v>8750</v>
      </c>
      <c r="AB97" s="67" t="n">
        <v>8750</v>
      </c>
      <c r="AC97" s="61" t="n">
        <v>0</v>
      </c>
      <c r="AD97" s="61" t="n">
        <v>0</v>
      </c>
      <c r="AE97" s="61" t="n">
        <v>0</v>
      </c>
      <c r="AF97" s="61" t="n">
        <v>0</v>
      </c>
      <c r="AG97" s="61" t="n">
        <v>0</v>
      </c>
      <c r="AH97" s="61" t="n">
        <v>0</v>
      </c>
      <c r="AI97" s="61" t="n">
        <v>0</v>
      </c>
      <c r="AJ97" s="61" t="n">
        <v>0</v>
      </c>
      <c r="AK97" s="61" t="n">
        <v>0</v>
      </c>
      <c r="AL97" s="61" t="n">
        <v>0</v>
      </c>
      <c r="AM97" s="61" t="n"/>
      <c r="AN97" s="61" t="n">
        <v>0</v>
      </c>
      <c r="AO97" s="61" t="n">
        <v>8750</v>
      </c>
      <c r="AP97" s="61" t="n">
        <v>8750</v>
      </c>
      <c r="AQ97" s="61" t="n">
        <v>0</v>
      </c>
      <c r="AR97" s="61" t="n">
        <v>0</v>
      </c>
      <c r="AS97" s="61" t="n">
        <v>8750</v>
      </c>
      <c r="AT97" s="61" t="n">
        <v>0</v>
      </c>
      <c r="AU97" s="61" t="n">
        <v>8750</v>
      </c>
      <c r="AV97" s="61" t="n">
        <v>0</v>
      </c>
      <c r="AW97" s="61" t="n">
        <v>21875</v>
      </c>
      <c r="AX97" s="61" t="n">
        <v>4375</v>
      </c>
      <c r="AY97" s="61" t="n">
        <v>0</v>
      </c>
      <c r="AZ97" s="61" t="n">
        <v>0</v>
      </c>
      <c r="BA97" s="61" t="inlineStr">
        <is>
          <t>否</t>
        </is>
      </c>
      <c r="BB97" s="61" t="n">
        <v>17500</v>
      </c>
      <c r="BC97" s="61" t="n">
        <v>39375</v>
      </c>
      <c r="BD97" s="61" t="n">
        <v>0</v>
      </c>
      <c r="BE97" s="36" t="inlineStr">
        <is>
          <t>曹星</t>
        </is>
      </c>
      <c r="BF97" s="61" t="n">
        <v>0</v>
      </c>
      <c r="BG97" s="61" t="n">
        <v>8750</v>
      </c>
      <c r="BH97" s="61" t="n">
        <v>8750</v>
      </c>
      <c r="BI97" s="61" t="n">
        <v>0</v>
      </c>
      <c r="BJ97" s="61" t="n">
        <v>0</v>
      </c>
      <c r="BK97" s="61" t="n">
        <v>0</v>
      </c>
      <c r="BL97" s="61" t="n">
        <v>0</v>
      </c>
      <c r="BM97" s="36" t="n">
        <v>0</v>
      </c>
      <c r="BN97" s="36" t="n">
        <v>8750</v>
      </c>
      <c r="BO97" s="36" t="n">
        <v>39375</v>
      </c>
      <c r="BP97" s="36" t="n">
        <v>17500</v>
      </c>
      <c r="BQ97" s="36" t="n">
        <v>17500</v>
      </c>
      <c r="BR97" s="36" t="n">
        <v>0</v>
      </c>
    </row>
    <row r="98" customFormat="1" s="5">
      <c r="A98" s="34" t="inlineStr">
        <is>
          <t>广州集泰化工股份有限公司</t>
        </is>
      </c>
      <c r="B98" s="35" t="inlineStr">
        <is>
          <t>G140901112</t>
        </is>
      </c>
      <c r="C98" s="36" t="inlineStr">
        <is>
          <t>广州市双聚化工产品有限公司</t>
        </is>
      </c>
      <c r="D98" s="36" t="n"/>
      <c r="E98" s="36" t="n">
        <v>2</v>
      </c>
      <c r="F98" s="37" t="n">
        <v>46172</v>
      </c>
      <c r="G98" s="36" t="inlineStr">
        <is>
          <t>曹星</t>
        </is>
      </c>
      <c r="H98" s="36" t="n"/>
      <c r="I98" s="44" t="n"/>
      <c r="J98" s="36" t="n">
        <v>30</v>
      </c>
      <c r="K98" s="36" t="n">
        <v>30</v>
      </c>
      <c r="L98" s="44" t="n">
        <v>0</v>
      </c>
      <c r="M98" s="36" t="inlineStr">
        <is>
          <t>电汇</t>
        </is>
      </c>
      <c r="N98" s="36" t="n"/>
      <c r="O98" s="61" t="n"/>
      <c r="P98" s="61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0</v>
      </c>
      <c r="AG98" s="61" t="n">
        <v>0</v>
      </c>
      <c r="AH98" s="61" t="n">
        <v>0</v>
      </c>
      <c r="AI98" s="61" t="n">
        <v>0</v>
      </c>
      <c r="AJ98" s="61" t="n">
        <v>0</v>
      </c>
      <c r="AK98" s="61" t="n">
        <v>0</v>
      </c>
      <c r="AL98" s="61" t="n">
        <v>0</v>
      </c>
      <c r="AM98" s="61" t="n"/>
      <c r="AN98" s="61" t="n">
        <v>0</v>
      </c>
      <c r="AO98" s="61" t="n">
        <v>0</v>
      </c>
      <c r="AP98" s="61" t="n">
        <v>0</v>
      </c>
      <c r="AQ98" s="61" t="n">
        <v>0</v>
      </c>
      <c r="AR98" s="61" t="n">
        <v>0</v>
      </c>
      <c r="AS98" s="61" t="n">
        <v>0</v>
      </c>
      <c r="AT98" s="61" t="n">
        <v>0</v>
      </c>
      <c r="AU98" s="61" t="n">
        <v>4800</v>
      </c>
      <c r="AV98" s="61" t="n">
        <v>0</v>
      </c>
      <c r="AW98" s="61" t="n">
        <v>0</v>
      </c>
      <c r="AX98" s="61" t="n">
        <v>0</v>
      </c>
      <c r="AY98" s="61" t="n">
        <v>0</v>
      </c>
      <c r="AZ98" s="61" t="n">
        <v>0</v>
      </c>
      <c r="BA98" s="61" t="inlineStr">
        <is>
          <t>否</t>
        </is>
      </c>
      <c r="BB98" s="61" t="n">
        <v>0</v>
      </c>
      <c r="BC98" s="61" t="n">
        <v>4800</v>
      </c>
      <c r="BD98" s="61" t="n">
        <v>0</v>
      </c>
      <c r="BE98" s="36" t="inlineStr">
        <is>
          <t>曹星</t>
        </is>
      </c>
      <c r="BF98" s="61" t="n">
        <v>0</v>
      </c>
      <c r="BG98" s="61" t="n">
        <v>0</v>
      </c>
      <c r="BH98" s="61" t="n">
        <v>0</v>
      </c>
      <c r="BI98" s="61" t="n">
        <v>0</v>
      </c>
      <c r="BJ98" s="61" t="n">
        <v>0</v>
      </c>
      <c r="BK98" s="61" t="n">
        <v>0</v>
      </c>
      <c r="BL98" s="61" t="n">
        <v>0</v>
      </c>
      <c r="BM98" s="36" t="n">
        <v>0</v>
      </c>
      <c r="BN98" s="36" t="n">
        <v>0</v>
      </c>
      <c r="BO98" s="36" t="n">
        <v>4800</v>
      </c>
      <c r="BP98" s="36" t="n">
        <v>0</v>
      </c>
      <c r="BQ98" s="36" t="n">
        <v>0</v>
      </c>
      <c r="BR98" s="36" t="n">
        <v>0</v>
      </c>
    </row>
    <row r="99" customFormat="1" s="5">
      <c r="A99" s="34" t="inlineStr">
        <is>
          <t>广州集泰化工股份有限公司</t>
        </is>
      </c>
      <c r="B99" s="35" t="inlineStr">
        <is>
          <t>G140901114</t>
        </is>
      </c>
      <c r="C99" s="36" t="inlineStr">
        <is>
          <t>广东源磊粉体有限公司</t>
        </is>
      </c>
      <c r="D99" s="36" t="n"/>
      <c r="E99" s="36" t="n">
        <v>2</v>
      </c>
      <c r="F99" s="37" t="n">
        <v>46172</v>
      </c>
      <c r="G99" s="36" t="inlineStr">
        <is>
          <t>曹星</t>
        </is>
      </c>
      <c r="H99" s="36" t="n"/>
      <c r="I99" s="36" t="inlineStr">
        <is>
          <t>硅微粉</t>
        </is>
      </c>
      <c r="J99" s="36" t="n">
        <v>120</v>
      </c>
      <c r="K99" s="36" t="n">
        <v>120</v>
      </c>
      <c r="L99" s="44" t="n">
        <v>0</v>
      </c>
      <c r="M99" s="36" t="inlineStr">
        <is>
          <t>商承/银承/电汇</t>
        </is>
      </c>
      <c r="N99" s="36" t="n"/>
      <c r="O99" s="61" t="n">
        <v>567</v>
      </c>
      <c r="P99" s="61" t="n"/>
      <c r="Q99" s="36" t="n"/>
      <c r="R99" s="36" t="n"/>
      <c r="S99" s="36" t="n"/>
      <c r="T99" s="36" t="n"/>
      <c r="U99" s="36" t="n"/>
      <c r="V99" s="36" t="n"/>
      <c r="W99" s="36" t="n">
        <v>567</v>
      </c>
      <c r="X99" s="36" t="n"/>
      <c r="Y99" s="61" t="n">
        <v>1050</v>
      </c>
      <c r="Z99" s="61" t="n">
        <v>0</v>
      </c>
      <c r="AA99" s="61" t="n">
        <v>420</v>
      </c>
      <c r="AB99" s="61" t="n">
        <v>0</v>
      </c>
      <c r="AC99" s="61" t="n">
        <v>0</v>
      </c>
      <c r="AD99" s="116" t="n">
        <v>420</v>
      </c>
      <c r="AE99" s="66" t="n">
        <v>210</v>
      </c>
      <c r="AF99" s="61" t="n">
        <v>0</v>
      </c>
      <c r="AG99" s="61" t="n">
        <v>0</v>
      </c>
      <c r="AH99" s="61" t="n">
        <v>0</v>
      </c>
      <c r="AI99" s="61" t="n">
        <v>0</v>
      </c>
      <c r="AJ99" s="61" t="n">
        <v>0</v>
      </c>
      <c r="AK99" s="61" t="n">
        <v>0</v>
      </c>
      <c r="AL99" s="61" t="n">
        <v>0</v>
      </c>
      <c r="AM99" s="61" t="n"/>
      <c r="AN99" s="61" t="n">
        <v>0</v>
      </c>
      <c r="AO99" s="61" t="n">
        <v>420</v>
      </c>
      <c r="AP99" s="61" t="n">
        <v>0</v>
      </c>
      <c r="AQ99" s="61" t="n">
        <v>0</v>
      </c>
      <c r="AR99" s="61" t="n">
        <v>420</v>
      </c>
      <c r="AS99" s="61" t="n">
        <v>210</v>
      </c>
      <c r="AT99" s="61" t="n">
        <v>0</v>
      </c>
      <c r="AU99" s="61" t="n">
        <v>0</v>
      </c>
      <c r="AV99" s="61" t="n">
        <v>0</v>
      </c>
      <c r="AW99" s="61" t="n">
        <v>0</v>
      </c>
      <c r="AX99" s="61" t="n">
        <v>0</v>
      </c>
      <c r="AY99" s="61" t="n">
        <v>0</v>
      </c>
      <c r="AZ99" s="61" t="n">
        <v>0</v>
      </c>
      <c r="BA99" s="61" t="inlineStr">
        <is>
          <t>否</t>
        </is>
      </c>
      <c r="BB99" s="61" t="n">
        <v>0</v>
      </c>
      <c r="BC99" s="61" t="n">
        <v>0</v>
      </c>
      <c r="BD99" s="61" t="n">
        <v>0</v>
      </c>
      <c r="BE99" s="36" t="inlineStr">
        <is>
          <t>曹星</t>
        </is>
      </c>
      <c r="BF99" s="61" t="n">
        <v>0</v>
      </c>
      <c r="BG99" s="61" t="n">
        <v>420</v>
      </c>
      <c r="BH99" s="61" t="n">
        <v>0</v>
      </c>
      <c r="BI99" s="61" t="n">
        <v>0</v>
      </c>
      <c r="BJ99" s="61" t="n">
        <v>420</v>
      </c>
      <c r="BK99" s="61" t="n">
        <v>210</v>
      </c>
      <c r="BL99" s="61" t="n">
        <v>0</v>
      </c>
      <c r="BM99" s="36" t="n">
        <v>0</v>
      </c>
      <c r="BN99" s="36" t="n">
        <v>420</v>
      </c>
      <c r="BO99" s="36" t="n">
        <v>0</v>
      </c>
      <c r="BP99" s="36" t="n">
        <v>0</v>
      </c>
      <c r="BQ99" s="36" t="n">
        <v>1050</v>
      </c>
      <c r="BR99" s="36" t="n">
        <v>0</v>
      </c>
    </row>
    <row r="100" customFormat="1" s="5">
      <c r="A100" s="34" t="inlineStr">
        <is>
          <t>广州集泰化工股份有限公司</t>
        </is>
      </c>
      <c r="B100" s="35" t="inlineStr">
        <is>
          <t>G140901120</t>
        </is>
      </c>
      <c r="C100" s="36" t="inlineStr">
        <is>
          <t>佛山市保合新材料科技有限公司</t>
        </is>
      </c>
      <c r="D100" s="36" t="n"/>
      <c r="E100" s="36" t="n">
        <v>2</v>
      </c>
      <c r="F100" s="37" t="n">
        <v>46172</v>
      </c>
      <c r="G100" s="36" t="inlineStr">
        <is>
          <t>曹星</t>
        </is>
      </c>
      <c r="H100" s="36" t="n"/>
      <c r="I100" s="36" t="inlineStr">
        <is>
          <t>碳酸钙</t>
        </is>
      </c>
      <c r="J100" s="36" t="n">
        <v>90</v>
      </c>
      <c r="K100" s="36" t="n">
        <v>120</v>
      </c>
      <c r="L100" s="44" t="n">
        <v>0</v>
      </c>
      <c r="M100" s="36" t="inlineStr">
        <is>
          <t>银承/电汇</t>
        </is>
      </c>
      <c r="N100" s="36" t="n"/>
      <c r="O100" s="61" t="n">
        <v>49590</v>
      </c>
      <c r="P100" s="61" t="n"/>
      <c r="Q100" s="36" t="n"/>
      <c r="R100" s="36" t="n">
        <v>49590</v>
      </c>
      <c r="S100" s="36" t="n"/>
      <c r="T100" s="36" t="n"/>
      <c r="U100" s="36" t="n"/>
      <c r="V100" s="36" t="n"/>
      <c r="W100" s="36" t="n"/>
      <c r="X100" s="36" t="n"/>
      <c r="Y100" s="61" t="n">
        <v>93100</v>
      </c>
      <c r="Z100" s="61" t="n">
        <v>19000</v>
      </c>
      <c r="AA100" s="61" t="n">
        <v>0</v>
      </c>
      <c r="AB100" s="61" t="n">
        <v>19000</v>
      </c>
      <c r="AC100" s="117" t="n">
        <v>19000</v>
      </c>
      <c r="AD100" s="66" t="n">
        <v>19000</v>
      </c>
      <c r="AE100" s="61" t="n">
        <v>0</v>
      </c>
      <c r="AF100" s="61" t="n">
        <v>0</v>
      </c>
      <c r="AG100" s="66" t="n">
        <v>17100</v>
      </c>
      <c r="AH100" s="61" t="n">
        <v>0</v>
      </c>
      <c r="AI100" s="61" t="n">
        <v>0</v>
      </c>
      <c r="AJ100" s="61" t="n">
        <v>0</v>
      </c>
      <c r="AK100" s="61" t="n">
        <v>0</v>
      </c>
      <c r="AL100" s="61" t="n">
        <v>0</v>
      </c>
      <c r="AM100" s="61" t="n"/>
      <c r="AN100" s="61" t="n">
        <v>19000</v>
      </c>
      <c r="AO100" s="61" t="n">
        <v>0</v>
      </c>
      <c r="AP100" s="61" t="n">
        <v>19000</v>
      </c>
      <c r="AQ100" s="61" t="n">
        <v>19000</v>
      </c>
      <c r="AR100" s="61" t="n">
        <v>19000</v>
      </c>
      <c r="AS100" s="61" t="n">
        <v>0</v>
      </c>
      <c r="AT100" s="61" t="n">
        <v>0</v>
      </c>
      <c r="AU100" s="61" t="n">
        <v>55100</v>
      </c>
      <c r="AV100" s="61" t="n">
        <v>0</v>
      </c>
      <c r="AW100" s="61" t="n">
        <v>19000</v>
      </c>
      <c r="AX100" s="61" t="n">
        <v>19000</v>
      </c>
      <c r="AY100" s="61" t="n">
        <v>19000</v>
      </c>
      <c r="AZ100" s="61" t="n">
        <v>19000</v>
      </c>
      <c r="BA100" s="61" t="inlineStr">
        <is>
          <t>否</t>
        </is>
      </c>
      <c r="BB100" s="61" t="n">
        <v>0</v>
      </c>
      <c r="BC100" s="61" t="n">
        <v>43984.64</v>
      </c>
      <c r="BD100" s="61" t="n">
        <v>0</v>
      </c>
      <c r="BE100" s="36" t="inlineStr">
        <is>
          <t>曹星</t>
        </is>
      </c>
      <c r="BF100" s="61" t="n">
        <v>19000</v>
      </c>
      <c r="BG100" s="61" t="n">
        <v>0</v>
      </c>
      <c r="BH100" s="61" t="n">
        <v>19000</v>
      </c>
      <c r="BI100" s="61" t="n">
        <v>19000</v>
      </c>
      <c r="BJ100" s="61" t="n">
        <v>19000</v>
      </c>
      <c r="BK100" s="61" t="n">
        <v>0</v>
      </c>
      <c r="BL100" s="61" t="n">
        <v>17100</v>
      </c>
      <c r="BM100" s="36" t="n">
        <v>19000</v>
      </c>
      <c r="BN100" s="36" t="n">
        <v>0</v>
      </c>
      <c r="BO100" s="36" t="n">
        <v>43984.64</v>
      </c>
      <c r="BP100" s="36" t="n">
        <v>0</v>
      </c>
      <c r="BQ100" s="36" t="n">
        <v>93100</v>
      </c>
      <c r="BR100" s="36" t="n">
        <v>0</v>
      </c>
    </row>
  </sheetData>
  <autoFilter ref="A8:BT100"/>
  <mergeCells count="9">
    <mergeCell ref="AN1:AZ1"/>
    <mergeCell ref="A1:C1"/>
    <mergeCell ref="BM1:BR1"/>
    <mergeCell ref="Q1:X1"/>
    <mergeCell ref="BE1:BL1"/>
    <mergeCell ref="O1:P1"/>
    <mergeCell ref="I1:N1"/>
    <mergeCell ref="BA1:BD1"/>
    <mergeCell ref="Z1:AL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5"/>
  <sheetViews>
    <sheetView topLeftCell="A67" workbookViewId="0">
      <selection activeCell="F106" sqref="F106"/>
    </sheetView>
  </sheetViews>
  <sheetFormatPr baseColWidth="8" defaultColWidth="9" defaultRowHeight="16.8"/>
  <cols>
    <col width="15.3846153846154" customWidth="1" style="63" min="2" max="2"/>
  </cols>
  <sheetData>
    <row r="1">
      <c r="A1" s="5" t="inlineStr">
        <is>
          <t>序号</t>
        </is>
      </c>
      <c r="B1" s="1" t="inlineStr">
        <is>
          <t>类别</t>
        </is>
      </c>
      <c r="C1" s="1" t="inlineStr">
        <is>
          <t>类别优先级</t>
        </is>
      </c>
    </row>
    <row r="2">
      <c r="A2" s="5" t="n">
        <v>1</v>
      </c>
      <c r="B2" s="1" t="inlineStr">
        <is>
          <t>107、DMC、硅油</t>
        </is>
      </c>
      <c r="C2" s="1" t="n">
        <v>1</v>
      </c>
    </row>
    <row r="3">
      <c r="A3" s="5" t="n">
        <v>2</v>
      </c>
      <c r="B3" s="1" t="inlineStr">
        <is>
          <t>橡胶</t>
        </is>
      </c>
      <c r="C3" s="1" t="n">
        <v>1</v>
      </c>
    </row>
    <row r="4">
      <c r="A4" s="5" t="n">
        <v>3</v>
      </c>
      <c r="B4" s="1" t="inlineStr">
        <is>
          <t>含氢硅油</t>
        </is>
      </c>
      <c r="C4" s="1" t="n">
        <v>1</v>
      </c>
    </row>
    <row r="5">
      <c r="A5" s="5" t="n">
        <v>4</v>
      </c>
      <c r="B5" s="1" t="inlineStr">
        <is>
          <t>封头剂</t>
        </is>
      </c>
      <c r="C5" s="1" t="n">
        <v>1</v>
      </c>
    </row>
    <row r="6">
      <c r="A6" s="5" t="n">
        <v>5</v>
      </c>
      <c r="B6" s="1" t="inlineStr">
        <is>
          <t>交联剂</t>
        </is>
      </c>
      <c r="C6" s="1" t="n">
        <v>2</v>
      </c>
    </row>
    <row r="7">
      <c r="A7" s="5" t="n">
        <v>6</v>
      </c>
      <c r="B7" s="1" t="inlineStr">
        <is>
          <t>偶联剂</t>
        </is>
      </c>
      <c r="C7" s="1" t="n">
        <v>2</v>
      </c>
    </row>
    <row r="8">
      <c r="A8" s="5" t="n">
        <v>7</v>
      </c>
      <c r="B8" s="1" t="inlineStr">
        <is>
          <t>组角胶</t>
        </is>
      </c>
      <c r="C8" s="1" t="n">
        <v>3</v>
      </c>
    </row>
    <row r="9">
      <c r="A9" s="5" t="n">
        <v>8</v>
      </c>
      <c r="B9" s="1" t="inlineStr">
        <is>
          <t>发泡剂</t>
        </is>
      </c>
      <c r="C9" s="1" t="n">
        <v>3</v>
      </c>
    </row>
    <row r="10">
      <c r="A10" s="5" t="n">
        <v>9</v>
      </c>
      <c r="B10" s="1" t="inlineStr">
        <is>
          <t>外购防火涂料</t>
        </is>
      </c>
      <c r="C10" s="1" t="n">
        <v>3</v>
      </c>
    </row>
    <row r="11">
      <c r="A11" s="5" t="n">
        <v>10</v>
      </c>
      <c r="B11" s="1" t="inlineStr">
        <is>
          <t>外购美缝剂</t>
        </is>
      </c>
      <c r="C11" s="1" t="n">
        <v>3</v>
      </c>
    </row>
    <row r="12">
      <c r="A12" s="5" t="n">
        <v>11</v>
      </c>
      <c r="B12" s="1" t="inlineStr">
        <is>
          <t>外购透明胶</t>
        </is>
      </c>
      <c r="C12" s="1" t="n">
        <v>3</v>
      </c>
    </row>
    <row r="13">
      <c r="A13" s="5" t="n">
        <v>12</v>
      </c>
      <c r="B13" s="1" t="inlineStr">
        <is>
          <t>外购3C涂料</t>
        </is>
      </c>
      <c r="C13" s="1" t="n">
        <v>3</v>
      </c>
    </row>
    <row r="14">
      <c r="A14" s="5" t="n">
        <v>13</v>
      </c>
      <c r="B14" s="1" t="inlineStr">
        <is>
          <t>外购153胶</t>
        </is>
      </c>
      <c r="C14" s="1" t="n">
        <v>3</v>
      </c>
    </row>
    <row r="15">
      <c r="A15" s="5" t="n">
        <v>14</v>
      </c>
      <c r="B15" s="1" t="inlineStr">
        <is>
          <t>外购汽车胶</t>
        </is>
      </c>
      <c r="C15" s="1" t="n">
        <v>3</v>
      </c>
    </row>
    <row r="16">
      <c r="A16" s="5" t="n">
        <v>15</v>
      </c>
      <c r="B16" s="1" t="inlineStr">
        <is>
          <t>外购窗缝胶</t>
        </is>
      </c>
      <c r="C16" s="1" t="n">
        <v>3</v>
      </c>
    </row>
    <row r="17">
      <c r="A17" s="5" t="n">
        <v>16</v>
      </c>
      <c r="B17" s="1" t="inlineStr">
        <is>
          <t>外购胶</t>
        </is>
      </c>
      <c r="C17" s="1" t="n">
        <v>3</v>
      </c>
    </row>
    <row r="18">
      <c r="A18" s="5" t="n">
        <v>17</v>
      </c>
      <c r="B18" s="1" t="inlineStr">
        <is>
          <t>外购垫片</t>
        </is>
      </c>
      <c r="C18" s="1" t="n">
        <v>3</v>
      </c>
    </row>
    <row r="19">
      <c r="A19" s="5" t="n">
        <v>18</v>
      </c>
      <c r="B19" s="1" t="inlineStr">
        <is>
          <t>防火涂料</t>
        </is>
      </c>
      <c r="C19" s="1" t="n">
        <v>3</v>
      </c>
    </row>
    <row r="20">
      <c r="A20" s="5" t="n">
        <v>19</v>
      </c>
      <c r="B20" s="1" t="inlineStr">
        <is>
          <t>PE树脂</t>
        </is>
      </c>
      <c r="C20" s="1" t="n">
        <v>4</v>
      </c>
    </row>
    <row r="21">
      <c r="A21" s="5" t="n">
        <v>20</v>
      </c>
      <c r="B21" s="1" t="inlineStr">
        <is>
          <t>PE树脂、封端107</t>
        </is>
      </c>
      <c r="C21" s="1" t="n">
        <v>4</v>
      </c>
    </row>
    <row r="22">
      <c r="A22" s="5" t="n">
        <v>21</v>
      </c>
      <c r="B22" s="1" t="inlineStr">
        <is>
          <t>催化剂</t>
        </is>
      </c>
      <c r="C22" s="1" t="n">
        <v>4</v>
      </c>
    </row>
    <row r="23">
      <c r="A23" s="5" t="n">
        <v>22</v>
      </c>
      <c r="B23" s="1" t="inlineStr">
        <is>
          <t>阻燃剂</t>
        </is>
      </c>
      <c r="C23" s="1" t="n">
        <v>4</v>
      </c>
    </row>
    <row r="24">
      <c r="A24" s="5" t="n">
        <v>23</v>
      </c>
      <c r="B24" s="1" t="inlineStr">
        <is>
          <t>蓖麻油</t>
        </is>
      </c>
      <c r="C24" s="1" t="n">
        <v>4</v>
      </c>
    </row>
    <row r="25">
      <c r="A25" s="5" t="n">
        <v>24</v>
      </c>
      <c r="B25" s="1" t="inlineStr">
        <is>
          <t>聚醚</t>
        </is>
      </c>
      <c r="C25" s="1" t="n">
        <v>4</v>
      </c>
    </row>
    <row r="26">
      <c r="A26" s="5" t="n">
        <v>25</v>
      </c>
      <c r="B26" s="1" t="inlineStr">
        <is>
          <t>醇酸树脂</t>
        </is>
      </c>
      <c r="C26" s="1" t="n">
        <v>4</v>
      </c>
    </row>
    <row r="27">
      <c r="A27" s="5" t="n">
        <v>26</v>
      </c>
      <c r="B27" s="1" t="inlineStr">
        <is>
          <t>PU树脂</t>
        </is>
      </c>
      <c r="C27" s="1" t="n">
        <v>4</v>
      </c>
    </row>
    <row r="28">
      <c r="A28" s="5" t="n">
        <v>27</v>
      </c>
      <c r="B28" s="1" t="inlineStr">
        <is>
          <t>溶剂</t>
        </is>
      </c>
      <c r="C28" s="1" t="n">
        <v>4</v>
      </c>
    </row>
    <row r="29">
      <c r="A29" s="5" t="n">
        <v>28</v>
      </c>
      <c r="B29" s="1" t="inlineStr">
        <is>
          <t>溶剂、硅油</t>
        </is>
      </c>
      <c r="C29" s="1" t="n">
        <v>5</v>
      </c>
    </row>
    <row r="30">
      <c r="A30" s="5" t="n">
        <v>29</v>
      </c>
      <c r="B30" s="1" t="inlineStr">
        <is>
          <t>气硅</t>
        </is>
      </c>
      <c r="C30" s="1" t="n">
        <v>4</v>
      </c>
    </row>
    <row r="31">
      <c r="A31" s="5" t="n">
        <v>30</v>
      </c>
      <c r="B31" s="1" t="inlineStr">
        <is>
          <t>抗氧剂</t>
        </is>
      </c>
      <c r="C31" s="1" t="n">
        <v>4</v>
      </c>
    </row>
    <row r="32">
      <c r="A32" s="5" t="n">
        <v>31</v>
      </c>
      <c r="B32" s="1" t="inlineStr">
        <is>
          <t>PVC树脂</t>
        </is>
      </c>
      <c r="C32" s="1" t="n">
        <v>4</v>
      </c>
    </row>
    <row r="33">
      <c r="A33" s="5" t="n">
        <v>32</v>
      </c>
      <c r="B33" s="1" t="inlineStr">
        <is>
          <t>聚异丁烯</t>
        </is>
      </c>
      <c r="C33" s="1" t="n">
        <v>4</v>
      </c>
    </row>
    <row r="34">
      <c r="A34" s="5" t="n">
        <v>33</v>
      </c>
      <c r="B34" s="1" t="inlineStr">
        <is>
          <t>增塑剂、成膜助剂</t>
        </is>
      </c>
      <c r="C34" s="1" t="n">
        <v>4</v>
      </c>
    </row>
    <row r="35">
      <c r="A35" s="5" t="n">
        <v>34</v>
      </c>
      <c r="B35" s="1" t="inlineStr">
        <is>
          <t>气硅、碳黑</t>
        </is>
      </c>
      <c r="C35" s="1" t="n">
        <v>4</v>
      </c>
    </row>
    <row r="36">
      <c r="A36" s="5" t="n">
        <v>35</v>
      </c>
      <c r="B36" s="1" t="inlineStr">
        <is>
          <t>碳黑</t>
        </is>
      </c>
      <c r="C36" s="1" t="n">
        <v>4</v>
      </c>
    </row>
    <row r="37">
      <c r="A37" s="5" t="n">
        <v>36</v>
      </c>
      <c r="B37" s="1" t="inlineStr">
        <is>
          <t>碳酸钙</t>
        </is>
      </c>
      <c r="C37" s="1" t="n">
        <v>5</v>
      </c>
    </row>
    <row r="38">
      <c r="A38" s="5" t="n">
        <v>37</v>
      </c>
      <c r="B38" s="1" t="inlineStr">
        <is>
          <t>钙粉</t>
        </is>
      </c>
      <c r="C38" s="1" t="n">
        <v>5</v>
      </c>
    </row>
    <row r="39">
      <c r="A39" s="5" t="n">
        <v>38</v>
      </c>
      <c r="B39" s="1" t="inlineStr">
        <is>
          <t>导热粉</t>
        </is>
      </c>
      <c r="C39" s="1" t="n">
        <v>5</v>
      </c>
    </row>
    <row r="40">
      <c r="A40" s="5" t="n">
        <v>39</v>
      </c>
      <c r="B40" s="1" t="inlineStr">
        <is>
          <t>钛白粉</t>
        </is>
      </c>
      <c r="C40" s="1" t="n">
        <v>5</v>
      </c>
    </row>
    <row r="41">
      <c r="A41" s="5" t="n">
        <v>40</v>
      </c>
      <c r="B41" s="1" t="inlineStr">
        <is>
          <t>胶筒</t>
        </is>
      </c>
      <c r="C41" s="1" t="n">
        <v>6</v>
      </c>
    </row>
    <row r="42">
      <c r="A42" s="5" t="n">
        <v>41</v>
      </c>
      <c r="B42" s="1" t="inlineStr">
        <is>
          <t>软膜</t>
        </is>
      </c>
      <c r="C42" s="1" t="n">
        <v>6</v>
      </c>
    </row>
    <row r="43">
      <c r="A43" s="5" t="n">
        <v>42</v>
      </c>
      <c r="B43" s="1" t="inlineStr">
        <is>
          <t>纸箱</t>
        </is>
      </c>
      <c r="C43" s="1" t="n">
        <v>6</v>
      </c>
    </row>
    <row r="44">
      <c r="A44" s="5" t="n">
        <v>43</v>
      </c>
      <c r="B44" s="1" t="inlineStr">
        <is>
          <t>胶筒、软膜</t>
        </is>
      </c>
      <c r="C44" s="1" t="n">
        <v>6</v>
      </c>
    </row>
    <row r="45">
      <c r="A45" s="5" t="n">
        <v>44</v>
      </c>
      <c r="B45" s="1" t="inlineStr">
        <is>
          <t>纸箱、软膜、胶筒</t>
        </is>
      </c>
      <c r="C45" s="1" t="n">
        <v>6</v>
      </c>
    </row>
    <row r="46">
      <c r="A46" s="5" t="n">
        <v>45</v>
      </c>
      <c r="B46" s="1" t="inlineStr">
        <is>
          <t>铝卡</t>
        </is>
      </c>
      <c r="C46" s="1" t="n">
        <v>6</v>
      </c>
    </row>
    <row r="47">
      <c r="A47" s="5" t="n">
        <v>46</v>
      </c>
      <c r="B47" s="1" t="inlineStr">
        <is>
          <t>铁桶</t>
        </is>
      </c>
      <c r="C47" s="1" t="n">
        <v>6</v>
      </c>
    </row>
    <row r="48">
      <c r="A48" s="5" t="n">
        <v>47</v>
      </c>
      <c r="B48" s="1" t="inlineStr">
        <is>
          <t>铁桶、木地板</t>
        </is>
      </c>
      <c r="C48" s="1" t="n">
        <v>6</v>
      </c>
    </row>
    <row r="49">
      <c r="A49" s="5" t="n">
        <v>48</v>
      </c>
      <c r="B49" s="1" t="inlineStr">
        <is>
          <t>环氧固化剂</t>
        </is>
      </c>
      <c r="C49" s="1" t="n">
        <v>7</v>
      </c>
    </row>
    <row r="50">
      <c r="A50" s="5" t="n">
        <v>49</v>
      </c>
      <c r="B50" s="1" t="inlineStr">
        <is>
          <t>乳液</t>
        </is>
      </c>
      <c r="C50" s="1" t="n">
        <v>7</v>
      </c>
    </row>
    <row r="51">
      <c r="A51" s="5" t="n">
        <v>50</v>
      </c>
      <c r="B51" s="1" t="inlineStr">
        <is>
          <t>环氧</t>
        </is>
      </c>
      <c r="C51" s="1" t="n">
        <v>7</v>
      </c>
    </row>
    <row r="52">
      <c r="A52" s="5" t="n">
        <v>51</v>
      </c>
      <c r="B52" s="1" t="inlineStr">
        <is>
          <t>聚氨酯树脂</t>
        </is>
      </c>
      <c r="C52" s="1" t="n">
        <v>7</v>
      </c>
    </row>
    <row r="53">
      <c r="A53" s="5" t="n">
        <v>52</v>
      </c>
      <c r="B53" s="1" t="inlineStr">
        <is>
          <t>固化剂</t>
        </is>
      </c>
      <c r="C53" s="1" t="n">
        <v>7</v>
      </c>
    </row>
    <row r="54">
      <c r="A54" s="5" t="n">
        <v>53</v>
      </c>
      <c r="B54" s="1" t="inlineStr">
        <is>
          <t>固化剂、防锈剂</t>
        </is>
      </c>
      <c r="C54" s="1" t="n">
        <v>7</v>
      </c>
    </row>
    <row r="55">
      <c r="A55" s="5" t="n">
        <v>54</v>
      </c>
      <c r="B55" s="1" t="inlineStr">
        <is>
          <t>聚氨酯固化剂</t>
        </is>
      </c>
      <c r="C55" s="1" t="n">
        <v>7</v>
      </c>
    </row>
    <row r="56">
      <c r="A56" s="5" t="n">
        <v>55</v>
      </c>
      <c r="B56" s="1" t="inlineStr">
        <is>
          <t>树脂、分散剂</t>
        </is>
      </c>
      <c r="C56" s="1" t="n">
        <v>7</v>
      </c>
    </row>
    <row r="57">
      <c r="A57" s="5" t="n">
        <v>56</v>
      </c>
      <c r="B57" s="1" t="inlineStr">
        <is>
          <t>溶剂、煤油</t>
        </is>
      </c>
      <c r="C57" s="1" t="n">
        <v>7</v>
      </c>
    </row>
    <row r="58">
      <c r="A58" s="5" t="n">
        <v>57</v>
      </c>
      <c r="B58" s="1" t="inlineStr">
        <is>
          <t>溶剂、树脂</t>
        </is>
      </c>
      <c r="C58" s="1" t="n">
        <v>7</v>
      </c>
    </row>
    <row r="59">
      <c r="A59" s="5" t="n">
        <v>58</v>
      </c>
      <c r="B59" s="1" t="inlineStr">
        <is>
          <t>乳液、消泡剂</t>
        </is>
      </c>
      <c r="C59" s="1" t="n">
        <v>7</v>
      </c>
    </row>
    <row r="60">
      <c r="A60" s="5" t="n">
        <v>59</v>
      </c>
      <c r="B60" s="1" t="inlineStr">
        <is>
          <t>聚氨酯</t>
        </is>
      </c>
      <c r="C60" s="1" t="n">
        <v>7</v>
      </c>
    </row>
    <row r="61">
      <c r="A61" s="5" t="n">
        <v>60</v>
      </c>
      <c r="B61" s="1" t="inlineStr">
        <is>
          <t>乳化沥青</t>
        </is>
      </c>
      <c r="C61" s="1" t="n">
        <v>7</v>
      </c>
    </row>
    <row r="62">
      <c r="A62" s="5" t="n">
        <v>61</v>
      </c>
      <c r="B62" s="1" t="inlineStr">
        <is>
          <t>锌粉</t>
        </is>
      </c>
      <c r="C62" s="1" t="n">
        <v>7</v>
      </c>
    </row>
    <row r="63">
      <c r="A63" s="5" t="n">
        <v>62</v>
      </c>
      <c r="B63" s="1" t="inlineStr">
        <is>
          <t>树脂</t>
        </is>
      </c>
      <c r="C63" s="1" t="n">
        <v>7</v>
      </c>
    </row>
    <row r="64">
      <c r="A64" s="5" t="n">
        <v>63</v>
      </c>
      <c r="B64" s="1" t="inlineStr">
        <is>
          <t>沥青</t>
        </is>
      </c>
      <c r="C64" s="1" t="n">
        <v>7</v>
      </c>
    </row>
    <row r="65">
      <c r="A65" s="5" t="n">
        <v>64</v>
      </c>
      <c r="B65" s="1" t="inlineStr">
        <is>
          <t>增稠剂、防锈剂</t>
        </is>
      </c>
      <c r="C65" s="1" t="n">
        <v>8</v>
      </c>
    </row>
    <row r="66">
      <c r="A66" s="5" t="n">
        <v>65</v>
      </c>
      <c r="B66" s="1" t="inlineStr">
        <is>
          <t>增塑剂</t>
        </is>
      </c>
      <c r="C66" s="1" t="n">
        <v>8</v>
      </c>
    </row>
    <row r="67">
      <c r="A67" s="5" t="n">
        <v>66</v>
      </c>
      <c r="B67" s="1" t="inlineStr">
        <is>
          <t>色浆</t>
        </is>
      </c>
      <c r="C67" s="1" t="n">
        <v>8</v>
      </c>
    </row>
    <row r="68">
      <c r="A68" s="5" t="n">
        <v>67</v>
      </c>
      <c r="B68" s="1" t="inlineStr">
        <is>
          <t>消泡剂、分散剂</t>
        </is>
      </c>
      <c r="C68" s="1" t="n">
        <v>8</v>
      </c>
    </row>
    <row r="69">
      <c r="A69" s="5" t="n">
        <v>68</v>
      </c>
      <c r="B69" s="1" t="inlineStr">
        <is>
          <t>无机涂料助剂</t>
        </is>
      </c>
      <c r="C69" s="1" t="n">
        <v>8</v>
      </c>
    </row>
    <row r="70">
      <c r="A70" s="5" t="n">
        <v>69</v>
      </c>
      <c r="B70" s="1" t="inlineStr">
        <is>
          <t>消泡剂、增稠剂</t>
        </is>
      </c>
      <c r="C70" s="1" t="n">
        <v>8</v>
      </c>
    </row>
    <row r="71">
      <c r="A71" s="5" t="n">
        <v>70</v>
      </c>
      <c r="B71" s="1" t="inlineStr">
        <is>
          <t>消泡剂</t>
        </is>
      </c>
      <c r="C71" s="1" t="n">
        <v>8</v>
      </c>
    </row>
    <row r="72">
      <c r="A72" s="5" t="n">
        <v>71</v>
      </c>
      <c r="B72" s="1" t="inlineStr">
        <is>
          <t>成膜助剂</t>
        </is>
      </c>
      <c r="C72" s="1" t="n">
        <v>8</v>
      </c>
    </row>
    <row r="73">
      <c r="A73" s="5" t="n">
        <v>72</v>
      </c>
      <c r="B73" s="1" t="inlineStr">
        <is>
          <t>防锈剂</t>
        </is>
      </c>
      <c r="C73" s="1" t="n">
        <v>8</v>
      </c>
    </row>
    <row r="74">
      <c r="A74" s="5" t="n">
        <v>73</v>
      </c>
      <c r="B74" s="1" t="inlineStr">
        <is>
          <t>分散剂、增稠剂</t>
        </is>
      </c>
      <c r="C74" s="1" t="n">
        <v>8</v>
      </c>
    </row>
    <row r="75">
      <c r="A75" s="5" t="n">
        <v>74</v>
      </c>
      <c r="B75" s="1" t="inlineStr">
        <is>
          <t>防霉剂</t>
        </is>
      </c>
      <c r="C75" s="1" t="n">
        <v>8</v>
      </c>
    </row>
    <row r="76">
      <c r="A76" s="5" t="n">
        <v>75</v>
      </c>
      <c r="B76" s="1" t="inlineStr">
        <is>
          <t>中和剂</t>
        </is>
      </c>
      <c r="C76" s="1" t="n">
        <v>8</v>
      </c>
    </row>
    <row r="77">
      <c r="A77" s="5" t="n">
        <v>76</v>
      </c>
      <c r="B77" s="1" t="inlineStr">
        <is>
          <t>碳黑、流平剂</t>
        </is>
      </c>
      <c r="C77" s="1" t="n">
        <v>8</v>
      </c>
    </row>
    <row r="78">
      <c r="A78" s="5" t="n">
        <v>77</v>
      </c>
      <c r="B78" s="1" t="inlineStr">
        <is>
          <t>润湿剂</t>
        </is>
      </c>
      <c r="C78" s="1" t="n">
        <v>8</v>
      </c>
    </row>
    <row r="79">
      <c r="A79" s="5" t="n">
        <v>78</v>
      </c>
      <c r="B79" s="1" t="inlineStr">
        <is>
          <t>润湿剂、流平剂</t>
        </is>
      </c>
      <c r="C79" s="1" t="n">
        <v>8</v>
      </c>
    </row>
    <row r="80">
      <c r="A80" s="5" t="n">
        <v>79</v>
      </c>
      <c r="B80" s="1" t="inlineStr">
        <is>
          <t>防锈填料</t>
        </is>
      </c>
      <c r="C80" s="1" t="n">
        <v>8</v>
      </c>
    </row>
    <row r="81">
      <c r="A81" s="5" t="n">
        <v>80</v>
      </c>
      <c r="B81" s="1" t="inlineStr">
        <is>
          <t>防腐剂、防霉剂</t>
        </is>
      </c>
      <c r="C81" s="1" t="n">
        <v>8</v>
      </c>
    </row>
    <row r="82">
      <c r="A82" s="5" t="n">
        <v>81</v>
      </c>
      <c r="B82" s="1" t="inlineStr">
        <is>
          <t>增粘剂</t>
        </is>
      </c>
      <c r="C82" s="1" t="n">
        <v>8</v>
      </c>
    </row>
    <row r="83">
      <c r="A83" s="5" t="n">
        <v>82</v>
      </c>
      <c r="B83" s="1" t="inlineStr">
        <is>
          <t>酒精</t>
        </is>
      </c>
      <c r="C83" s="1" t="n">
        <v>8</v>
      </c>
    </row>
    <row r="84">
      <c r="A84" s="5" t="n">
        <v>83</v>
      </c>
      <c r="B84" s="1" t="inlineStr">
        <is>
          <t>聚酰胺蜡</t>
        </is>
      </c>
      <c r="C84" s="1" t="n">
        <v>8</v>
      </c>
    </row>
    <row r="85">
      <c r="A85" s="5" t="n">
        <v>84</v>
      </c>
      <c r="B85" s="1" t="inlineStr">
        <is>
          <t>分散剂</t>
        </is>
      </c>
      <c r="C85" s="1" t="n">
        <v>8</v>
      </c>
    </row>
    <row r="86">
      <c r="A86" s="5" t="n">
        <v>85</v>
      </c>
      <c r="B86" s="1" t="inlineStr">
        <is>
          <t>增稠剂</t>
        </is>
      </c>
      <c r="C86" s="1" t="n">
        <v>8</v>
      </c>
    </row>
    <row r="87">
      <c r="A87" s="5" t="n">
        <v>86</v>
      </c>
      <c r="B87" s="1" t="inlineStr">
        <is>
          <t>硫酸钡</t>
        </is>
      </c>
      <c r="C87" s="1" t="n">
        <v>8</v>
      </c>
    </row>
    <row r="88">
      <c r="A88" s="5" t="n">
        <v>87</v>
      </c>
      <c r="B88" s="1" t="inlineStr">
        <is>
          <t>硅微粉</t>
        </is>
      </c>
      <c r="C88" s="1" t="n">
        <v>8</v>
      </c>
    </row>
    <row r="89">
      <c r="A89" s="5" t="n">
        <v>88</v>
      </c>
      <c r="B89" s="1" t="inlineStr">
        <is>
          <t>珠光粉</t>
        </is>
      </c>
      <c r="C89" s="1" t="n">
        <v>8</v>
      </c>
    </row>
    <row r="90">
      <c r="A90" s="5" t="n">
        <v>89</v>
      </c>
      <c r="B90" s="1" t="inlineStr">
        <is>
          <t>导电粉</t>
        </is>
      </c>
      <c r="C90" s="1" t="n">
        <v>8</v>
      </c>
    </row>
    <row r="91">
      <c r="A91" s="5" t="n">
        <v>90</v>
      </c>
      <c r="B91" s="1" t="inlineStr">
        <is>
          <t>硅微粉、云母粉</t>
        </is>
      </c>
      <c r="C91" s="1" t="n">
        <v>8</v>
      </c>
    </row>
    <row r="92">
      <c r="A92" s="5" t="n">
        <v>91</v>
      </c>
      <c r="B92" s="1" t="inlineStr">
        <is>
          <t>色粉</t>
        </is>
      </c>
      <c r="C92" s="1" t="n">
        <v>8</v>
      </c>
    </row>
    <row r="93">
      <c r="A93" s="5" t="n">
        <v>92</v>
      </c>
      <c r="B93" s="1" t="inlineStr">
        <is>
          <t>膨润土</t>
        </is>
      </c>
      <c r="C93" s="1" t="n">
        <v>8</v>
      </c>
    </row>
    <row r="94">
      <c r="A94" s="5" t="n">
        <v>93</v>
      </c>
      <c r="B94" s="1" t="inlineStr">
        <is>
          <t>活化粉</t>
        </is>
      </c>
      <c r="C94" s="1" t="n">
        <v>8</v>
      </c>
    </row>
    <row r="95">
      <c r="A95" s="5" t="n">
        <v>94</v>
      </c>
      <c r="B95" s="1" t="inlineStr">
        <is>
          <t>凡士林</t>
        </is>
      </c>
      <c r="C95" s="1" t="n">
        <v>8</v>
      </c>
    </row>
    <row r="96">
      <c r="A96" s="5" t="n">
        <v>95</v>
      </c>
      <c r="B96" s="1" t="inlineStr">
        <is>
          <t>防老剂</t>
        </is>
      </c>
      <c r="C96" s="1" t="n">
        <v>8</v>
      </c>
    </row>
    <row r="97">
      <c r="A97" s="5" t="n">
        <v>96</v>
      </c>
      <c r="B97" s="1" t="inlineStr">
        <is>
          <t>玻璃微珠</t>
        </is>
      </c>
      <c r="C97" s="1" t="n">
        <v>8</v>
      </c>
    </row>
    <row r="98">
      <c r="A98" s="5" t="n">
        <v>97</v>
      </c>
      <c r="B98" s="1" t="inlineStr">
        <is>
          <t>检测用品</t>
        </is>
      </c>
      <c r="C98" s="1" t="n">
        <v>9</v>
      </c>
    </row>
    <row r="99">
      <c r="A99" s="5" t="n">
        <v>98</v>
      </c>
      <c r="B99" s="1" t="inlineStr">
        <is>
          <t>塑料桶</t>
        </is>
      </c>
      <c r="C99" s="1" t="n">
        <v>9</v>
      </c>
    </row>
    <row r="100">
      <c r="A100" s="5" t="n">
        <v>99</v>
      </c>
      <c r="B100" s="1" t="inlineStr">
        <is>
          <t>木地板</t>
        </is>
      </c>
      <c r="C100" s="1" t="n">
        <v>9</v>
      </c>
    </row>
    <row r="101">
      <c r="A101" s="5" t="n">
        <v>100</v>
      </c>
      <c r="B101" s="1" t="inlineStr">
        <is>
          <t>打包材料</t>
        </is>
      </c>
      <c r="C101" s="1" t="n">
        <v>9</v>
      </c>
    </row>
    <row r="102">
      <c r="A102" s="5" t="n">
        <v>101</v>
      </c>
      <c r="B102" s="1" t="inlineStr">
        <is>
          <t>标签</t>
        </is>
      </c>
      <c r="C102" s="1" t="n">
        <v>9</v>
      </c>
    </row>
    <row r="103">
      <c r="A103" s="5" t="n">
        <v>102</v>
      </c>
      <c r="B103" s="1" t="inlineStr">
        <is>
          <t>木地板、标签</t>
        </is>
      </c>
      <c r="C103" s="1" t="n">
        <v>9</v>
      </c>
    </row>
    <row r="104">
      <c r="A104" s="5" t="n">
        <v>103</v>
      </c>
      <c r="B104" s="1" t="inlineStr">
        <is>
          <t>礼品</t>
        </is>
      </c>
      <c r="C104" s="1" t="n">
        <v>9</v>
      </c>
    </row>
    <row r="105">
      <c r="A105" s="5" t="n">
        <v>104</v>
      </c>
      <c r="B105" s="1" t="inlineStr">
        <is>
          <t>胶枪</t>
        </is>
      </c>
      <c r="C105" s="1" t="n">
        <v>9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C18" sqref="C18"/>
    </sheetView>
  </sheetViews>
  <sheetFormatPr baseColWidth="8" defaultColWidth="9" defaultRowHeight="16.8"/>
  <cols>
    <col width="26.9134615384615" customWidth="1" style="63" min="2" max="2"/>
    <col width="12.7692307692308" customWidth="1" style="63" min="3" max="3"/>
  </cols>
  <sheetData>
    <row r="1">
      <c r="A1" s="1" t="inlineStr">
        <is>
          <t>序号</t>
        </is>
      </c>
      <c r="B1" s="1" t="inlineStr">
        <is>
          <t>银行名称</t>
        </is>
      </c>
      <c r="C1" s="1" t="inlineStr">
        <is>
          <t>付款优先级</t>
        </is>
      </c>
      <c r="D1" s="5" t="n"/>
      <c r="E1" s="5" t="n"/>
      <c r="F1" s="5" t="n"/>
    </row>
    <row r="2" ht="17.6" customHeight="1" s="63">
      <c r="A2" s="1" t="n">
        <v>2</v>
      </c>
      <c r="B2" s="1" t="inlineStr">
        <is>
          <t>浦发银行信用证</t>
        </is>
      </c>
      <c r="C2" s="1" t="n">
        <v>1</v>
      </c>
      <c r="D2" s="64" t="n"/>
      <c r="E2" s="64" t="n"/>
      <c r="F2" s="64" t="n"/>
    </row>
    <row r="3">
      <c r="A3" s="1" t="n">
        <v>5</v>
      </c>
      <c r="B3" s="1" t="inlineStr">
        <is>
          <t>易信</t>
        </is>
      </c>
      <c r="C3" s="1" t="n">
        <v>2</v>
      </c>
      <c r="D3" s="5" t="n"/>
      <c r="E3" s="5" t="n"/>
      <c r="F3" s="5" t="n"/>
    </row>
    <row r="4">
      <c r="A4" s="1" t="n">
        <v>4</v>
      </c>
      <c r="B4" s="1" t="inlineStr">
        <is>
          <t>平安银行</t>
        </is>
      </c>
      <c r="C4" s="1" t="n">
        <v>3</v>
      </c>
      <c r="D4" s="5" t="n"/>
      <c r="E4" s="5" t="n"/>
      <c r="F4" s="5" t="n"/>
    </row>
    <row r="5">
      <c r="A5" s="1" t="n"/>
      <c r="B5" s="1" t="inlineStr">
        <is>
          <t>兴业银行</t>
        </is>
      </c>
      <c r="C5" s="1" t="n">
        <v>4</v>
      </c>
      <c r="D5" s="5" t="n"/>
      <c r="E5" s="5" t="n"/>
      <c r="F5" s="5" t="n"/>
    </row>
    <row r="6">
      <c r="A6" s="1" t="n">
        <v>1</v>
      </c>
      <c r="B6" s="1" t="inlineStr">
        <is>
          <t>中国银行</t>
        </is>
      </c>
      <c r="C6" s="1" t="n">
        <v>5</v>
      </c>
      <c r="D6" s="5" t="n"/>
      <c r="E6" s="5" t="n"/>
      <c r="F6" s="5" t="n"/>
    </row>
    <row r="7">
      <c r="A7" s="1" t="n">
        <v>6</v>
      </c>
      <c r="B7" s="1" t="inlineStr">
        <is>
          <t>资金计划</t>
        </is>
      </c>
      <c r="C7" s="1" t="n">
        <v>6</v>
      </c>
      <c r="D7" s="5" t="n"/>
      <c r="E7" s="5" t="n"/>
      <c r="F7" s="5" t="n"/>
    </row>
    <row r="8">
      <c r="A8" s="1" t="n"/>
      <c r="B8" s="1" t="n"/>
      <c r="C8" s="1" t="n"/>
      <c r="D8" s="5" t="n"/>
      <c r="E8" s="5" t="n"/>
      <c r="F8" s="5" t="n"/>
    </row>
    <row r="9">
      <c r="A9" s="1" t="n"/>
      <c r="B9" s="1" t="n"/>
      <c r="C9" s="1" t="n"/>
      <c r="D9" s="5" t="n"/>
      <c r="E9" s="5" t="n"/>
      <c r="F9" s="5" t="n"/>
    </row>
    <row r="10">
      <c r="A10" s="1" t="n"/>
      <c r="B10" s="1" t="n"/>
      <c r="C10" s="1" t="n"/>
      <c r="D10" s="5" t="n"/>
      <c r="E10" s="5" t="n"/>
      <c r="F10" s="5" t="n"/>
    </row>
    <row r="11">
      <c r="A11" s="1" t="n"/>
      <c r="B11" s="1" t="n"/>
      <c r="C11" s="1" t="n"/>
      <c r="D11" s="5" t="n"/>
      <c r="E11" s="5" t="n"/>
      <c r="F11" s="5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B2" sqref="B2"/>
    </sheetView>
  </sheetViews>
  <sheetFormatPr baseColWidth="8" defaultColWidth="9.23076923076923" defaultRowHeight="16.8" outlineLevelRow="2"/>
  <sheetData>
    <row r="1">
      <c r="A1" s="1" t="inlineStr">
        <is>
          <t>成本名称</t>
        </is>
      </c>
      <c r="B1" s="1" t="inlineStr">
        <is>
          <t>负责人</t>
        </is>
      </c>
    </row>
    <row r="2">
      <c r="A2" s="1" t="inlineStr">
        <is>
          <t>成本二部</t>
        </is>
      </c>
      <c r="B2" s="1" t="inlineStr">
        <is>
          <t>彭时莎</t>
        </is>
      </c>
    </row>
    <row r="3">
      <c r="A3" s="1" t="inlineStr">
        <is>
          <t xml:space="preserve">成本三部 </t>
        </is>
      </c>
      <c r="B3" s="1" t="inlineStr">
        <is>
          <t>曹星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Suyingjuan</dc:creator>
  <dcterms:created xmlns:dcterms="http://purl.org/dc/terms/" xmlns:xsi="http://www.w3.org/2001/XMLSchema-instance" xsi:type="dcterms:W3CDTF">2023-05-20T03:15:00Z</dcterms:created>
  <dcterms:modified xmlns:dcterms="http://purl.org/dc/terms/" xmlns:xsi="http://www.w3.org/2001/XMLSchema-instance" xsi:type="dcterms:W3CDTF">2026-07-08T10:29:23Z</dcterms:modified>
  <cp:lastModifiedBy>whuwdj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2052-12.1.26026.26026</vt:lpwstr>
  </property>
  <property name="ICV" fmtid="{D5CDD505-2E9C-101B-9397-08002B2CF9AE}" pid="3">
    <vt:lpwstr xmlns:vt="http://schemas.openxmlformats.org/officeDocument/2006/docPropsVTypes">856B974AE67B4EA6A09EE921B41881B6_13</vt:lpwstr>
  </property>
  <property name="CalculationRule" fmtid="{D5CDD505-2E9C-101B-9397-08002B2CF9AE}" pid="4">
    <vt:i4 xmlns:vt="http://schemas.openxmlformats.org/officeDocument/2006/docPropsVTypes">0</vt:i4>
  </property>
</Properties>
</file>